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进度表" sheetId="2" state="visible" r:id="rId2"/>
    <sheet xmlns:r="http://schemas.openxmlformats.org/officeDocument/2006/relationships" name="进度统计" sheetId="3" state="visible" r:id="rId3"/>
    <sheet xmlns:r="http://schemas.openxmlformats.org/officeDocument/2006/relationships" name="状态说明" sheetId="4" state="visible" r:id="rId4"/>
  </sheets>
  <definedNames>
    <definedName name="_xlnm._FilterDatabase" localSheetId="1" hidden="1">'开发进度表'!$A$1:$E$27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sz val="12"/>
    </font>
    <font>
      <name val="微软雅黑"/>
      <sz val="10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b val="1"/>
      <sz val="11"/>
    </font>
    <font>
      <name val="微软雅黑"/>
      <b val="1"/>
      <color rgb="006B7280"/>
      <sz val="10"/>
    </font>
    <font>
      <name val="微软雅黑"/>
      <b val="1"/>
      <color rgb="00B45309"/>
      <sz val="10"/>
    </font>
    <font>
      <name val="微软雅黑"/>
      <b val="1"/>
      <color rgb="001D4ED8"/>
      <sz val="10"/>
    </font>
    <font>
      <name val="微软雅黑"/>
      <b val="1"/>
      <color rgb="00047857"/>
      <sz val="10"/>
    </font>
  </fonts>
  <fills count="1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CE7F3"/>
      </patternFill>
    </fill>
    <fill>
      <patternFill patternType="solid">
        <fgColor rgb="00E0F2FE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E5E7EB"/>
      </patternFill>
    </fill>
    <fill>
      <patternFill patternType="solid">
        <fgColor rgb="00CFFAFE"/>
      </patternFill>
    </fill>
    <fill>
      <patternFill patternType="solid">
        <fgColor rgb="00D9F99D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1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微软雅黑"/>
        <b val="1"/>
        <color rgb="006B7280"/>
        <sz val="10"/>
      </font>
      <fill>
        <patternFill patternType="solid">
          <fgColor rgb="00F3F4F6"/>
        </patternFill>
      </fill>
    </dxf>
    <dxf>
      <font>
        <name val="微软雅黑"/>
        <b val="1"/>
        <color rgb="00B45309"/>
        <sz val="10"/>
      </font>
      <fill>
        <patternFill patternType="solid">
          <fgColor rgb="00FEF3C7"/>
        </patternFill>
      </fill>
    </dxf>
    <dxf>
      <font>
        <name val="微软雅黑"/>
        <b val="1"/>
        <color rgb="001D4ED8"/>
        <sz val="10"/>
      </font>
      <fill>
        <patternFill patternType="solid">
          <fgColor rgb="00DBEAFE"/>
        </patternFill>
      </fill>
    </dxf>
    <dxf>
      <font>
        <name val="微软雅黑"/>
        <b val="1"/>
        <color rgb="00047857"/>
        <sz val="10"/>
      </font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2" t="inlineStr">
        <is>
          <t>医疗RAG 智能问答系统 · 开发进度表</t>
        </is>
      </c>
    </row>
    <row r="2">
      <c r="A2" s="2" t="n"/>
    </row>
    <row r="3">
      <c r="A3" s="33" t="inlineStr">
        <is>
          <t>本表按「任务卡驱动」维护：一张任务卡 = 一行进度。内容依据项目历史开发记录整理，截至 2026-09-27。</t>
        </is>
      </c>
    </row>
    <row r="4">
      <c r="A4" s="2" t="n"/>
    </row>
    <row r="5">
      <c r="A5" s="32" t="inlineStr">
        <is>
          <t>【阶段划分】</t>
        </is>
      </c>
    </row>
    <row r="6">
      <c r="A6" s="33" t="inlineStr">
        <is>
          <t>P0 环境基建 —— 工程脚手架、后端框架、MySQL / Milvus、前端工程</t>
        </is>
      </c>
    </row>
    <row r="7">
      <c r="A7" s="33" t="inlineStr">
        <is>
          <t>P1 数据工程 —— 数据清洗、格式桥梁、文本切分、向量入库、BM25 预热</t>
        </is>
      </c>
    </row>
    <row r="8">
      <c r="A8" s="33" t="inlineStr">
        <is>
          <t>P2 检索链路 —— 混合检索、查询改写、契约封闭、Reranker、来源路由 Agent、上传去重</t>
        </is>
      </c>
    </row>
    <row r="9">
      <c r="A9" s="33" t="inlineStr">
        <is>
          <t>P3 生成对话 —— LLM 接入、医学提示词、SSE 流式、会话多轮、证据闸门与兜底</t>
        </is>
      </c>
    </row>
    <row r="10">
      <c r="A10" s="33" t="inlineStr">
        <is>
          <t>P4 对话行为与评测 —— dialogue_act 四类分流、策略矩阵、图改造、对抗评测集、规则门修复、基线订正</t>
        </is>
      </c>
    </row>
    <row r="11">
      <c r="A11" s="33" t="inlineStr">
        <is>
          <t>P5 人工澄清与交互 —— checkpointer 持久化、human_review 追问、requery 重检索、澄清落库、复制按钮</t>
        </is>
      </c>
    </row>
    <row r="12">
      <c r="A12" s="33" t="inlineStr">
        <is>
          <t>P6 指代消解与忠实性 —— 阶段三 focus_entity 跨轮指代、阶段四 忠实性校验与越界编号剥除</t>
        </is>
      </c>
    </row>
    <row r="13">
      <c r="A13" s="33" t="inlineStr">
        <is>
          <t>P7 前端循证工作台 —— 三栏布局、角标证据双向联动、双主题、海报页、数据大屏、刷新恢复</t>
        </is>
      </c>
    </row>
    <row r="14">
      <c r="A14" s="33" t="inlineStr">
        <is>
          <t>P8 交付与工程化 —— 引用溯源、反馈闭环看板、改写分流、多用户鉴权、Alembic 迁移、容器化与发布</t>
        </is>
      </c>
    </row>
    <row r="15">
      <c r="A15" s="33" t="inlineStr">
        <is>
          <t>P9 后续路线图 —— partial 三档、badcase 回流、长对话摘要层、LangGraph 深化（均未启动）</t>
        </is>
      </c>
    </row>
    <row r="16">
      <c r="A16" s="33" t="n"/>
    </row>
    <row r="17">
      <c r="A17" s="32" t="inlineStr">
        <is>
          <t>【状态流转口径】</t>
        </is>
      </c>
    </row>
    <row r="18">
      <c r="A18" s="33" t="inlineStr">
        <is>
          <t>未开发 → 开发中（任务卡已发出）→ 已开发（代码完成、编译与类型检查通过）→ 已测试（真实链路评测通过 / 人工验收通过）</t>
        </is>
      </c>
    </row>
    <row r="19">
      <c r="A19" s="33" t="n"/>
    </row>
    <row r="20">
      <c r="A20" s="32" t="inlineStr">
        <is>
          <t>【维护说明】</t>
        </is>
      </c>
    </row>
    <row r="21">
      <c r="A21" s="33" t="inlineStr">
        <is>
          <t>· 「开发状态」列自带下拉与四色条件格式（已预置到第 500 行），新增任务行无需任何设置。</t>
        </is>
      </c>
    </row>
    <row r="22">
      <c r="A22" s="33" t="inlineStr">
        <is>
          <t>· 「进度统计」页全部由公式驱动，按阶段名与状态自动汇总，无需手改任何数字。</t>
        </is>
      </c>
    </row>
    <row r="23">
      <c r="A23" s="33" t="inlineStr">
        <is>
          <t>· 阶段列底色为静态配色（10 个阶段 10 色），新增阶段可手动填充颜色区分。</t>
        </is>
      </c>
    </row>
    <row r="24">
      <c r="A24" s="33" t="inlineStr">
        <is>
          <t>· P9 为尚未启动的路线图，纳入统计会拉低整体完成率，看进度时可按 P0~P8 口径评估。</t>
        </is>
      </c>
    </row>
    <row r="25">
      <c r="A25" s="33" t="inlineStr">
        <is>
          <t>· 新增行后如筛选范围不对，请重新点一次「数据 → 筛选」。</t>
        </is>
      </c>
    </row>
    <row r="26">
      <c r="A26" s="33" t="n"/>
    </row>
    <row r="27">
      <c r="A27" s="32" t="inlineStr">
        <is>
          <t>【最近更新 · 2026-09-27】</t>
        </is>
      </c>
    </row>
    <row r="28">
      <c r="A28" s="33" t="inlineStr">
        <is>
          <t>· 阶段三（focus_entity 指代消解）与阶段四（忠实性校验）已补齐并接线，回归测试全绿。</t>
        </is>
      </c>
    </row>
    <row r="29">
      <c r="A29" s="33" t="inlineStr">
        <is>
          <t>· 前端三栏循证工作台改版完成：角标与证据卡双向联动、明暗双主题、SVG 图标体系。</t>
        </is>
      </c>
    </row>
    <row r="30">
      <c r="A30" s="33" t="inlineStr">
        <is>
          <t>· 新增 Intro 海报页与数据大屏 /#/screen（5 屏轮播），并修复刷新后会话丢失问题。</t>
        </is>
      </c>
    </row>
    <row r="31">
      <c r="A31" s="33" t="inlineStr">
        <is>
          <t>· 仍待办：反馈迁移脚本执行、改写按行为分流接线、多用户鉴权、rerank 阈值标定。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11" customWidth="1" min="4" max="4"/>
    <col width="30" customWidth="1" min="5" max="5"/>
  </cols>
  <sheetData>
    <row r="1" ht="24" customHeight="1">
      <c r="A1" s="3" t="inlineStr">
        <is>
          <t>阶段</t>
        </is>
      </c>
      <c r="B1" s="3" t="inlineStr">
        <is>
          <t>卡号</t>
        </is>
      </c>
      <c r="C1" s="3" t="inlineStr">
        <is>
          <t>任务名称</t>
        </is>
      </c>
      <c r="D1" s="3" t="inlineStr">
        <is>
          <t>开发状态</t>
        </is>
      </c>
      <c r="E1" s="3" t="inlineStr">
        <is>
          <t>备注</t>
        </is>
      </c>
    </row>
    <row r="2" ht="26" customHeight="1">
      <c r="A2" s="4" t="inlineStr">
        <is>
          <t>P0 环境基建</t>
        </is>
      </c>
      <c r="B2" s="5" t="inlineStr">
        <is>
          <t>T01</t>
        </is>
      </c>
      <c r="C2" s="6" t="inlineStr">
        <is>
          <t>工程初始化与环境约定（conda Python3.10 / pyproject·uv / 依赖安装）</t>
        </is>
      </c>
      <c r="D2" s="7" t="inlineStr">
        <is>
          <t>已测试</t>
        </is>
      </c>
      <c r="E2" s="6" t="inlineStr">
        <is>
          <t>conda create -n medical-rag python=3.10</t>
        </is>
      </c>
    </row>
    <row r="3" ht="26" customHeight="1">
      <c r="A3" s="4" t="inlineStr">
        <is>
          <t>P0 环境基建</t>
        </is>
      </c>
      <c r="B3" s="5" t="inlineStr">
        <is>
          <t>T02</t>
        </is>
      </c>
      <c r="C3" s="6" t="inlineStr">
        <is>
          <t>后端 FastAPI 框架与配置（main.py / config.py / .env / 健康检查）</t>
        </is>
      </c>
      <c r="D3" s="7" t="inlineStr">
        <is>
          <t>已测试</t>
        </is>
      </c>
      <c r="E3" s="6" t="inlineStr">
        <is>
          <t>/api/health 探活正常</t>
        </is>
      </c>
    </row>
    <row r="4" ht="26" customHeight="1">
      <c r="A4" s="4" t="inlineStr">
        <is>
          <t>P0 环境基建</t>
        </is>
      </c>
      <c r="B4" s="5" t="inlineStr">
        <is>
          <t>T03</t>
        </is>
      </c>
      <c r="C4" s="6" t="inlineStr">
        <is>
          <t>MySQL 数据库建模与初始化（utf8mb4 + init_db 建表）</t>
        </is>
      </c>
      <c r="D4" s="7" t="inlineStr">
        <is>
          <t>已测试</t>
        </is>
      </c>
      <c r="E4" s="6" t="inlineStr">
        <is>
          <t>字符集 utf8mb4_unicode_ci</t>
        </is>
      </c>
    </row>
    <row r="5" ht="26" customHeight="1">
      <c r="A5" s="4" t="inlineStr">
        <is>
          <t>P0 环境基建</t>
        </is>
      </c>
      <c r="B5" s="5" t="inlineStr">
        <is>
          <t>T04</t>
        </is>
      </c>
      <c r="C5" s="6" t="inlineStr">
        <is>
          <t>Milvus 向量库部署（docker-compose：etcd/MinIO/Milvus + 健康检查）</t>
        </is>
      </c>
      <c r="D5" s="7" t="inlineStr">
        <is>
          <t>已测试</t>
        </is>
      </c>
      <c r="E5" s="6" t="inlineStr">
        <is>
          <t>9091/healthz 就绪</t>
        </is>
      </c>
    </row>
    <row r="6" ht="26" customHeight="1">
      <c r="A6" s="4" t="inlineStr">
        <is>
          <t>P0 环境基建</t>
        </is>
      </c>
      <c r="B6" s="5" t="inlineStr">
        <is>
          <t>T05</t>
        </is>
      </c>
      <c r="C6" s="6" t="inlineStr">
        <is>
          <t>前端 Vite/React 工程与 /api 代理</t>
        </is>
      </c>
      <c r="D6" s="7" t="inlineStr">
        <is>
          <t>已测试</t>
        </is>
      </c>
      <c r="E6" s="6" t="inlineStr">
        <is>
          <t>移除干扰 SSE 的 configure 回调</t>
        </is>
      </c>
    </row>
    <row r="7" ht="26" customHeight="1">
      <c r="A7" s="8" t="inlineStr">
        <is>
          <t>P1 数据工程</t>
        </is>
      </c>
      <c r="B7" s="5" t="inlineStr">
        <is>
          <t>T06</t>
        </is>
      </c>
      <c r="C7" s="6" t="inlineStr">
        <is>
          <t>原始医疗数据清洗（clean_data.py：按科室拆分、去重合并）</t>
        </is>
      </c>
      <c r="D7" s="7" t="inlineStr">
        <is>
          <t>已测试</t>
        </is>
      </c>
      <c r="E7" s="6" t="inlineStr">
        <is>
          <t>存 backend/data/by_department/</t>
        </is>
      </c>
    </row>
    <row r="8" ht="26" customHeight="1">
      <c r="A8" s="8" t="inlineStr">
        <is>
          <t>P1 数据工程</t>
        </is>
      </c>
      <c r="B8" s="5" t="inlineStr">
        <is>
          <t>T07</t>
        </is>
      </c>
      <c r="C8" s="6" t="inlineStr">
        <is>
          <t>数据格式桥梁修复（data_loader.py 加载清洗 JSON + 字段映射）</t>
        </is>
      </c>
      <c r="D8" s="7" t="inlineStr">
        <is>
          <t>已测试</t>
        </is>
      </c>
      <c r="E8" s="6" t="inlineStr">
        <is>
          <t>instruction→title 等映射</t>
        </is>
      </c>
    </row>
    <row r="9" ht="26" customHeight="1">
      <c r="A9" s="8" t="inlineStr">
        <is>
          <t>P1 数据工程</t>
        </is>
      </c>
      <c r="B9" s="5" t="inlineStr">
        <is>
          <t>T08</t>
        </is>
      </c>
      <c r="C9" s="6" t="inlineStr">
        <is>
          <t>文档切分与预处理（text_split.py）</t>
        </is>
      </c>
      <c r="D9" s="7" t="inlineStr">
        <is>
          <t>已测试</t>
        </is>
      </c>
      <c r="E9" s="6" t="inlineStr">
        <is>
          <t>内置切分 + embedding</t>
        </is>
      </c>
    </row>
    <row r="10" ht="26" customHeight="1">
      <c r="A10" s="8" t="inlineStr">
        <is>
          <t>P1 数据工程</t>
        </is>
      </c>
      <c r="B10" s="5" t="inlineStr">
        <is>
          <t>T09</t>
        </is>
      </c>
      <c r="C10" s="6" t="inlineStr">
        <is>
          <t>向量化入库（ingest.py→Milvus，bge-large-zh-v1.5 全量 60.5 万）</t>
        </is>
      </c>
      <c r="D10" s="7" t="inlineStr">
        <is>
          <t>已测试</t>
        </is>
      </c>
      <c r="E10" s="6" t="inlineStr">
        <is>
          <t>GPU 可加速，先 --limit 小批验证</t>
        </is>
      </c>
    </row>
    <row r="11" ht="26" customHeight="1">
      <c r="A11" s="8" t="inlineStr">
        <is>
          <t>P1 数据工程</t>
        </is>
      </c>
      <c r="B11" s="5" t="inlineStr">
        <is>
          <t>T10</t>
        </is>
      </c>
      <c r="C11" s="6" t="inlineStr">
        <is>
          <t>BM25 索引构建与启动预热（gen_bm25_cache + lifespan 预热 k=20）</t>
        </is>
      </c>
      <c r="D11" s="7" t="inlineStr">
        <is>
          <t>已测试</t>
        </is>
      </c>
      <c r="E11" s="6" t="inlineStr">
        <is>
          <t>与检索参数保持一致</t>
        </is>
      </c>
    </row>
    <row r="12" ht="26" customHeight="1">
      <c r="A12" s="9" t="inlineStr">
        <is>
          <t>P2 检索链路</t>
        </is>
      </c>
      <c r="B12" s="5" t="inlineStr">
        <is>
          <t>T11</t>
        </is>
      </c>
      <c r="C12" s="6" t="inlineStr">
        <is>
          <t>混合检索（vectorstore.py：向量/BM25 权重融合、tuned 动态权重）</t>
        </is>
      </c>
      <c r="D12" s="7" t="inlineStr">
        <is>
          <t>已测试</t>
        </is>
      </c>
      <c r="E12" s="6" t="inlineStr">
        <is>
          <t>权重：tuned &gt; .env &gt; 默认</t>
        </is>
      </c>
    </row>
    <row r="13" ht="26" customHeight="1">
      <c r="A13" s="9" t="inlineStr">
        <is>
          <t>P2 检索链路</t>
        </is>
      </c>
      <c r="B13" s="5" t="inlineStr">
        <is>
          <t>T12</t>
        </is>
      </c>
      <c r="C13" s="6" t="inlineStr">
        <is>
          <t>查询改写（query_rewriter.py：多路改写 + 历史上下文 + 失败兜底）</t>
        </is>
      </c>
      <c r="D13" s="7" t="inlineStr">
        <is>
          <t>已测试</t>
        </is>
      </c>
      <c r="E13" s="6" t="inlineStr">
        <is>
          <t>修复 quries→queries 拼写</t>
        </is>
      </c>
    </row>
    <row r="14" ht="26" customHeight="1">
      <c r="A14" s="9" t="inlineStr">
        <is>
          <t>P2 检索链路</t>
        </is>
      </c>
      <c r="B14" s="5" t="inlineStr">
        <is>
          <t>T13</t>
        </is>
      </c>
      <c r="C14" s="6" t="inlineStr">
        <is>
          <t>改写输出契约封闭化（RewriteResult：长度/元话语/前缀收敛）</t>
        </is>
      </c>
      <c r="D14" s="7" t="inlineStr">
        <is>
          <t>已测试</t>
        </is>
      </c>
      <c r="E14" s="6" t="inlineStr">
        <is>
          <t>防说明文字被当检索词</t>
        </is>
      </c>
    </row>
    <row r="15" ht="26" customHeight="1">
      <c r="A15" s="9" t="inlineStr">
        <is>
          <t>P2 检索链路</t>
        </is>
      </c>
      <c r="B15" s="5" t="inlineStr">
        <is>
          <t>T14</t>
        </is>
      </c>
      <c r="C15" s="6" t="inlineStr">
        <is>
          <t>Reranker 精排（reranker.py：bge-reranker-v2-m3、top_k 配置化）</t>
        </is>
      </c>
      <c r="D15" s="7" t="inlineStr">
        <is>
          <t>已测试</t>
        </is>
      </c>
      <c r="E15" s="6" t="inlineStr">
        <is>
          <t>FlagEmbedding 依赖</t>
        </is>
      </c>
    </row>
    <row r="16" ht="26" customHeight="1">
      <c r="A16" s="9" t="inlineStr">
        <is>
          <t>P2 检索链路</t>
        </is>
      </c>
      <c r="B16" s="5" t="inlineStr">
        <is>
          <t>T15</t>
        </is>
      </c>
      <c r="C16" s="6" t="inlineStr">
        <is>
          <t>来源路由 Agent（agents/source_router.py：LLM 判来源 + 过滤回退）</t>
        </is>
      </c>
      <c r="D16" s="7" t="inlineStr">
        <is>
          <t>已测试</t>
        </is>
      </c>
      <c r="E16" s="6" t="inlineStr">
        <is>
          <t>多智能体方向的现成起点</t>
        </is>
      </c>
    </row>
    <row r="17" ht="26" customHeight="1">
      <c r="A17" s="9" t="inlineStr">
        <is>
          <t>P2 检索链路</t>
        </is>
      </c>
      <c r="B17" s="5" t="inlineStr">
        <is>
          <t>T16</t>
        </is>
      </c>
      <c r="C17" s="6" t="inlineStr">
        <is>
          <t>文档上传与全局去重（documents.py：content_hash 唯一索引）</t>
        </is>
      </c>
      <c r="D17" s="7" t="inlineStr">
        <is>
          <t>已测试</t>
        </is>
      </c>
      <c r="E17" s="6" t="inlineStr">
        <is>
          <t>多用户化待 T47</t>
        </is>
      </c>
    </row>
    <row r="18" ht="26" customHeight="1">
      <c r="A18" s="10" t="inlineStr">
        <is>
          <t>P3 生成对话</t>
        </is>
      </c>
      <c r="B18" s="5" t="inlineStr">
        <is>
          <t>T17</t>
        </is>
      </c>
      <c r="C18" s="6" t="inlineStr">
        <is>
          <t>DeepSeek LLM 接入与降级（llm.py：调用失败回退原始问题）</t>
        </is>
      </c>
      <c r="D18" s="7" t="inlineStr">
        <is>
          <t>已测试</t>
        </is>
      </c>
      <c r="E18" s="6" t="inlineStr">
        <is>
          <t>余额不足会触发兜底</t>
        </is>
      </c>
    </row>
    <row r="19" ht="26" customHeight="1">
      <c r="A19" s="10" t="inlineStr">
        <is>
          <t>P3 生成对话</t>
        </is>
      </c>
      <c r="B19" s="5" t="inlineStr">
        <is>
          <t>T18</t>
        </is>
      </c>
      <c r="C19" s="6" t="inlineStr">
        <is>
          <t>生成链与医学提示词（rag_chain.py + MEDICAL_PROMPT + user_statement）</t>
        </is>
      </c>
      <c r="D19" s="7" t="inlineStr">
        <is>
          <t>已测试</t>
        </is>
      </c>
      <c r="E19" s="6" t="inlineStr">
        <is>
          <t>资料症状不得误归为用户症状</t>
        </is>
      </c>
    </row>
    <row r="20" ht="26" customHeight="1">
      <c r="A20" s="10" t="inlineStr">
        <is>
          <t>P3 生成对话</t>
        </is>
      </c>
      <c r="B20" s="5" t="inlineStr">
        <is>
          <t>T19</t>
        </is>
      </c>
      <c r="C20" s="6" t="inlineStr">
        <is>
          <t>SSE 流式回答（流式输出 + fetch no-store 防 404 缓存）</t>
        </is>
      </c>
      <c r="D20" s="7" t="inlineStr">
        <is>
          <t>已测试</t>
        </is>
      </c>
      <c r="E20" s="6" t="inlineStr">
        <is>
          <t>客户端断开时助手回答不丢失</t>
        </is>
      </c>
    </row>
    <row r="21" ht="26" customHeight="1">
      <c r="A21" s="10" t="inlineStr">
        <is>
          <t>P3 生成对话</t>
        </is>
      </c>
      <c r="B21" s="5" t="inlineStr">
        <is>
          <t>T20</t>
        </is>
      </c>
      <c r="C21" s="6" t="inlineStr">
        <is>
          <t>会话管理与多轮上下文（conversations.py + commit 前置持久化）</t>
        </is>
      </c>
      <c r="D21" s="7" t="inlineStr">
        <is>
          <t>已测试</t>
        </is>
      </c>
      <c r="E21" s="6" t="inlineStr">
        <is>
          <t>流开始前 commit 防会话丢失</t>
        </is>
      </c>
    </row>
    <row r="22" ht="26" customHeight="1">
      <c r="A22" s="10" t="inlineStr">
        <is>
          <t>P3 生成对话</t>
        </is>
      </c>
      <c r="B22" s="5" t="inlineStr">
        <is>
          <t>T21</t>
        </is>
      </c>
      <c r="C22" s="6" t="inlineStr">
        <is>
          <t>前端多轮会话修复（会话ID保留 + 历史主诉提取/兜底改写）</t>
        </is>
      </c>
      <c r="D22" s="7" t="inlineStr">
        <is>
          <t>已测试</t>
        </is>
      </c>
      <c r="E22" s="6" t="inlineStr">
        <is>
          <t>第二问携带同一 conversation_id</t>
        </is>
      </c>
    </row>
    <row r="23" ht="26" customHeight="1">
      <c r="A23" s="10" t="inlineStr">
        <is>
          <t>P3 生成对话</t>
        </is>
      </c>
      <c r="B23" s="5" t="inlineStr">
        <is>
          <t>T22</t>
        </is>
      </c>
      <c r="C23" s="6" t="inlineStr">
        <is>
          <t>证据二档闸门 + 独立兜底节点（修「不了」编造引用）</t>
        </is>
      </c>
      <c r="D23" s="7" t="inlineStr">
        <is>
          <t>已测试</t>
        </is>
      </c>
      <c r="E23" s="6" t="inlineStr">
        <is>
          <t>none/strong 二档 + 独立兜底节点</t>
        </is>
      </c>
    </row>
    <row r="24" ht="26" customHeight="1">
      <c r="A24" s="11" t="inlineStr">
        <is>
          <t>P4 对话行为与评测</t>
        </is>
      </c>
      <c r="B24" s="5" t="inlineStr">
        <is>
          <t>T23</t>
        </is>
      </c>
      <c r="C24" s="6" t="inlineStr">
        <is>
          <t>显式对话行为 dialogue_act（改写契约扩展 + 标签解析）</t>
        </is>
      </c>
      <c r="D24" s="7" t="inlineStr">
        <is>
          <t>已测试</t>
        </is>
      </c>
      <c r="E24" s="6" t="inlineStr">
        <is>
          <t>四类行为，零额外延迟</t>
        </is>
      </c>
    </row>
    <row r="25" ht="26" customHeight="1">
      <c r="A25" s="11" t="inlineStr">
        <is>
          <t>P4 对话行为与评测</t>
        </is>
      </c>
      <c r="B25" s="5" t="inlineStr">
        <is>
          <t>T24</t>
        </is>
      </c>
      <c r="C25" s="6" t="inlineStr">
        <is>
          <t>策略矩阵 dialogue_policy.py（行为 × 证据 → 检索/打分/回答）</t>
        </is>
      </c>
      <c r="D25" s="7" t="inlineStr">
        <is>
          <t>已测试</t>
        </is>
      </c>
      <c r="E25" s="6" t="inlineStr">
        <is>
          <t>唯一决策表，替代散落 if</t>
        </is>
      </c>
    </row>
    <row r="26" ht="26" customHeight="1">
      <c r="A26" s="11" t="inlineStr">
        <is>
          <t>P4 对话行为与评测</t>
        </is>
      </c>
      <c r="B26" s="5" t="inlineStr">
        <is>
          <t>T25</t>
        </is>
      </c>
      <c r="C26" s="6" t="inlineStr">
        <is>
          <t>对话图改造（父图三出口 / 子图两出口）</t>
        </is>
      </c>
      <c r="D26" s="7" t="inlineStr">
        <is>
          <t>已测试</t>
        </is>
      </c>
      <c r="E26" s="6" t="inlineStr">
        <is>
          <t>ack·chitchat 检索前掉头，省 3~5s</t>
        </is>
      </c>
    </row>
    <row r="27" ht="26" customHeight="1">
      <c r="A27" s="11" t="inlineStr">
        <is>
          <t>P4 对话行为与评测</t>
        </is>
      </c>
      <c r="B27" s="5" t="inlineStr">
        <is>
          <t>T26</t>
        </is>
      </c>
      <c r="C27" s="6" t="inlineStr">
        <is>
          <t>对话行为评测集与脚本（eval_dialogue.py + 65 条 9 组对抗集）</t>
        </is>
      </c>
      <c r="D27" s="7" t="inlineStr">
        <is>
          <t>已测试</t>
        </is>
      </c>
      <c r="E27" s="6" t="inlineStr">
        <is>
          <t>act 100% / 落点 95.2% / 方向性错误 0</t>
        </is>
      </c>
    </row>
    <row r="28" ht="26" customHeight="1">
      <c r="A28" s="11" t="inlineStr">
        <is>
          <t>P4 对话行为与评测</t>
        </is>
      </c>
      <c r="B28" s="5" t="inlineStr">
        <is>
          <t>T27</t>
        </is>
      </c>
      <c r="C28" s="6" t="inlineStr">
        <is>
          <t>规则门误伤修复（intent.py 整串消费 + 症状词补全）</t>
        </is>
      </c>
      <c r="D28" s="7" t="inlineStr">
        <is>
          <t>已测试</t>
        </is>
      </c>
      <c r="E28" s="6" t="inlineStr">
        <is>
          <t>「好恶心/好困」误伤 4 → 0</t>
        </is>
      </c>
    </row>
    <row r="29" ht="26" customHeight="1">
      <c r="A29" s="11" t="inlineStr">
        <is>
          <t>P4 对话行为与评测</t>
        </is>
      </c>
      <c r="B29" s="5" t="inlineStr">
        <is>
          <t>T28</t>
        </is>
      </c>
      <c r="C29" s="6" t="inlineStr">
        <is>
          <t>检索回归与基线订正（实测改写对自足问题净负收益）</t>
        </is>
      </c>
      <c r="D29" s="7" t="inlineStr">
        <is>
          <t>已测试</t>
        </is>
      </c>
      <c r="E29" s="6" t="inlineStr">
        <is>
          <t>冻结无改写基线 hit_rate 0.92 / mrr 0.9067</t>
        </is>
      </c>
    </row>
    <row r="30" ht="26" customHeight="1">
      <c r="A30" s="34" t="inlineStr">
        <is>
          <t>P5 人工澄清与交互</t>
        </is>
      </c>
      <c r="B30" s="5" t="inlineStr">
        <is>
          <t>T29</t>
        </is>
      </c>
      <c r="C30" s="6" t="inlineStr">
        <is>
          <t>图状态持久化 checkpointer（AsyncSqliteSaver + conversation_id↔thread_id）</t>
        </is>
      </c>
      <c r="D30" s="7" t="inlineStr">
        <is>
          <t>已测试</t>
        </is>
      </c>
      <c r="E30" s="6" t="inlineStr">
        <is>
          <t>同步 SqliteSaver 与异步链路不兼容，改 AsyncSqliteSaver</t>
        </is>
      </c>
    </row>
    <row r="31" ht="26" customHeight="1">
      <c r="A31" s="34" t="inlineStr">
        <is>
          <t>P5 人工澄清与交互</t>
        </is>
      </c>
      <c r="B31" s="5" t="inlineStr">
        <is>
          <t>T30</t>
        </is>
      </c>
      <c r="C31" s="6" t="inlineStr">
        <is>
          <t>人工澄清中断 human_review（evidence=none 追问 + 急症不追问 + 放弃分支）</t>
        </is>
      </c>
      <c r="D31" s="7" t="inlineStr">
        <is>
          <t>已测试</t>
        </is>
      </c>
      <c r="E31" s="6" t="inlineStr">
        <is>
          <t>10 项验证清单全通过</t>
        </is>
      </c>
    </row>
    <row r="32" ht="26" customHeight="1">
      <c r="A32" s="34" t="inlineStr">
        <is>
          <t>P5 人工澄清与交互</t>
        </is>
      </c>
      <c r="B32" s="5" t="inlineStr">
        <is>
          <t>T31</t>
        </is>
      </c>
      <c r="C32" s="6" t="inlineStr">
        <is>
          <t>澄清后重检索 requery（程序化复用检索子图，trace 不重复）</t>
        </is>
      </c>
      <c r="D32" s="7" t="inlineStr">
        <is>
          <t>已测试</t>
        </is>
      </c>
      <c r="E32" s="6" t="inlineStr">
        <is>
          <t>不连回子图节点，避免 trace 翻倍</t>
        </is>
      </c>
    </row>
    <row r="33" ht="26" customHeight="1">
      <c r="A33" s="34" t="inlineStr">
        <is>
          <t>P5 人工澄清与交互</t>
        </is>
      </c>
      <c r="B33" s="5" t="inlineStr">
        <is>
          <t>T32</t>
        </is>
      </c>
      <c r="C33" s="6" t="inlineStr">
        <is>
          <t>澄清话术落库与刷新恢复（is_clarification 字段 + 迁移 + 前端徽章）</t>
        </is>
      </c>
      <c r="D33" s="7" t="inlineStr">
        <is>
          <t>已测试</t>
        </is>
      </c>
      <c r="E33" s="6" t="inlineStr">
        <is>
          <t>刷新后徽章保留、对话恢复</t>
        </is>
      </c>
    </row>
    <row r="34" ht="26" customHeight="1">
      <c r="A34" s="34" t="inlineStr">
        <is>
          <t>P5 人工澄清与交互</t>
        </is>
      </c>
      <c r="B34" s="5" t="inlineStr">
        <is>
          <t>T33</t>
        </is>
      </c>
      <c r="C34" s="6" t="inlineStr">
        <is>
          <t>前端复制按钮（CopyButton.tsx 覆盖提问/回答/来源/看板 5 处）</t>
        </is>
      </c>
      <c r="D34" s="7" t="inlineStr">
        <is>
          <t>已测试</t>
        </is>
      </c>
      <c r="E34" s="6" t="inlineStr">
        <is>
          <t>流式生成中不显示</t>
        </is>
      </c>
    </row>
    <row r="35" ht="26" customHeight="1">
      <c r="A35" s="34" t="inlineStr">
        <is>
          <t>P5 人工澄清与交互</t>
        </is>
      </c>
      <c r="B35" s="5" t="inlineStr">
        <is>
          <t>T34</t>
        </is>
      </c>
      <c r="C35" s="6" t="inlineStr">
        <is>
          <t>trace 跨轮累积修复（连续 3 轮每轮 trace 均 5 步）</t>
        </is>
      </c>
      <c r="D35" s="7" t="inlineStr">
        <is>
          <t>已测试</t>
        </is>
      </c>
      <c r="E35" s="6" t="inlineStr">
        <is>
          <t>不再滚雪球</t>
        </is>
      </c>
    </row>
    <row r="36" ht="26" customHeight="1">
      <c r="A36" s="34" t="inlineStr">
        <is>
          <t>P5 人工澄清与交互</t>
        </is>
      </c>
      <c r="B36" s="5" t="inlineStr">
        <is>
          <t>T35</t>
        </is>
      </c>
      <c r="C36" s="6" t="inlineStr">
        <is>
          <t>验证体系补强（test_clarify_flow 20/20 + e2e 10 场景 + test_backend_api 33 断言）</t>
        </is>
      </c>
      <c r="D36" s="7" t="inlineStr">
        <is>
          <t>已测试</t>
        </is>
      </c>
      <c r="E36" s="6" t="inlineStr">
        <is>
          <t>旧脚本无断言且会误写 Milvus，已重写</t>
        </is>
      </c>
    </row>
    <row r="37" ht="26" customHeight="1">
      <c r="A37" s="30" t="inlineStr">
        <is>
          <t>P6 指代消解与忠实性</t>
        </is>
      </c>
      <c r="B37" s="5" t="inlineStr">
        <is>
          <t>T36</t>
        </is>
      </c>
      <c r="C37" s="6" t="inlineStr">
        <is>
          <t>阶段三·focus_entity 跨轮指代消解（契约扩展 + 策略表 focus 列 + 图接线）</t>
        </is>
      </c>
      <c r="D37" s="7" t="inlineStr">
        <is>
          <t>已测试</t>
        </is>
      </c>
      <c r="E37" s="6" t="inlineStr">
        <is>
          <t>仅 followup 且改写退化时兜底；FOCUS_ENTITY_ENABLED 可回退</t>
        </is>
      </c>
    </row>
    <row r="38" ht="26" customHeight="1">
      <c r="A38" s="30" t="inlineStr">
        <is>
          <t>P6 指代消解与忠实性</t>
        </is>
      </c>
      <c r="B38" s="5" t="inlineStr">
        <is>
          <t>T37</t>
        </is>
      </c>
      <c r="C38" s="6" t="inlineStr">
        <is>
          <t>阶段四·忠实性校验（L1 正则剥越界编号 + L2 LLM 不支持声明 + correction 落库）</t>
        </is>
      </c>
      <c r="D38" s="7" t="inlineStr">
        <is>
          <t>已测试</t>
        </is>
      </c>
      <c r="E38" s="6" t="inlineStr">
        <is>
          <t>ground_check 不进 STREAMING_NODES；L2 默认关、fail-open</t>
        </is>
      </c>
    </row>
    <row r="39" ht="26" customHeight="1">
      <c r="A39" s="30" t="inlineStr">
        <is>
          <t>P6 指代消解与忠实性</t>
        </is>
      </c>
      <c r="B39" s="5" t="inlineStr">
        <is>
          <t>T38</t>
        </is>
      </c>
      <c r="C39" s="6" t="inlineStr">
        <is>
          <t>阶段三/四回归验证（test_focus_entity 17 例 + test_groundedness 16 例 + 对话行为回归）</t>
        </is>
      </c>
      <c r="D39" s="7" t="inlineStr">
        <is>
          <t>已测试</t>
        </is>
      </c>
      <c r="E39" s="6" t="inlineStr">
        <is>
          <t>3 条落点不符归因于 rerank 阈值标定，与阶段三/四无关</t>
        </is>
      </c>
    </row>
    <row r="40" ht="26" customHeight="1">
      <c r="A40" s="31" t="inlineStr">
        <is>
          <t>P7 前端循证工作台</t>
        </is>
      </c>
      <c r="B40" s="5" t="inlineStr">
        <is>
          <t>T39</t>
        </is>
      </c>
      <c r="C40" s="6" t="inlineStr">
        <is>
          <t>三栏循证工作台改版（图标栏 Rail + 对话主列 + 证据栏 EvidencePanel）</t>
        </is>
      </c>
      <c r="D40" s="7" t="inlineStr">
        <is>
          <t>已测试</t>
        </is>
      </c>
      <c r="E40" s="6" t="inlineStr">
        <is>
          <t>构建通过 + 7 项 UI 验证 PASS；证据栏实质内容待后端联调</t>
        </is>
      </c>
    </row>
    <row r="41" ht="26" customHeight="1">
      <c r="A41" s="31" t="inlineStr">
        <is>
          <t>P7 前端循证工作台</t>
        </is>
      </c>
      <c r="B41" s="5" t="inlineStr">
        <is>
          <t>T40</t>
        </is>
      </c>
      <c r="C41" s="6" t="inlineStr">
        <is>
          <t>角标与证据卡双向联动 + 视觉分层（临床蓝 / 证据青绿 / 风险琥珀红）</t>
        </is>
      </c>
      <c r="D41" s="7" t="inlineStr">
        <is>
          <t>已测试</t>
        </is>
      </c>
      <c r="E41" s="6" t="inlineStr">
        <is>
          <t>明暗双主题；emoji 统一替换为 SVG（Icon.tsx）</t>
        </is>
      </c>
    </row>
    <row r="42" ht="26" customHeight="1">
      <c r="A42" s="31" t="inlineStr">
        <is>
          <t>P7 前端循证工作台</t>
        </is>
      </c>
      <c r="B42" s="5" t="inlineStr">
        <is>
          <t>T41</t>
        </is>
      </c>
      <c r="C42" s="6" t="inlineStr">
        <is>
          <t>Intro 海报页（检索链路 + 能力卡 + 真实统计数字）</t>
        </is>
      </c>
      <c r="D42" s="7" t="inlineStr">
        <is>
          <t>已测试</t>
        </is>
      </c>
      <c r="E42" s="6" t="inlineStr">
        <is>
          <t>localStorage intro-seen 控制；8 项浏览器实测全过</t>
        </is>
      </c>
    </row>
    <row r="43" ht="26" customHeight="1">
      <c r="A43" s="31" t="inlineStr">
        <is>
          <t>P7 前端循证工作台</t>
        </is>
      </c>
      <c r="B43" s="5" t="inlineStr">
        <is>
          <t>T42</t>
        </is>
      </c>
      <c r="C43" s="6" t="inlineStr">
        <is>
          <t>数据大屏 /#/screen（5 屏轮播 + 键盘操作 + 真全屏 + 兜底快照）</t>
        </is>
      </c>
      <c r="D43" s="7" t="inlineStr">
        <is>
          <t>已测试</t>
        </is>
      </c>
      <c r="E43" s="6" t="inlineStr">
        <is>
          <t>stats API + gen_dashboard_snapshot.py；每屏 14s</t>
        </is>
      </c>
    </row>
    <row r="44" ht="26" customHeight="1">
      <c r="A44" s="31" t="inlineStr">
        <is>
          <t>P7 前端循证工作台</t>
        </is>
      </c>
      <c r="B44" s="5" t="inlineStr">
        <is>
          <t>T43</t>
        </is>
      </c>
      <c r="C44" s="6" t="inlineStr">
        <is>
          <t>刷新恢复修复（会话ID 落 localStorage + 刷新状态按钮时间戳 + no-store）</t>
        </is>
      </c>
      <c r="D44" s="7" t="inlineStr">
        <is>
          <t>已测试</t>
        </is>
      </c>
      <c r="E44" s="6" t="inlineStr">
        <is>
          <t>刷新后会话与澄清徽章均保留</t>
        </is>
      </c>
    </row>
    <row r="45" ht="26" customHeight="1">
      <c r="A45" s="35" t="inlineStr">
        <is>
          <t>P8 交付与工程化</t>
        </is>
      </c>
      <c r="B45" s="5" t="inlineStr">
        <is>
          <t>T44</t>
        </is>
      </c>
      <c r="C45" s="6" t="inlineStr">
        <is>
          <t>引用编号可点击溯源（正文[n]→来源卡片高亮）</t>
        </is>
      </c>
      <c r="D45" s="7" t="inlineStr">
        <is>
          <t>已测试</t>
        </is>
      </c>
      <c r="E45" s="6" t="inlineStr">
        <is>
          <t>仅对真实存在的编号生效</t>
        </is>
      </c>
    </row>
    <row r="46" ht="26" customHeight="1">
      <c r="A46" s="35" t="inlineStr">
        <is>
          <t>P8 交付与工程化</t>
        </is>
      </c>
      <c r="B46" s="5" t="inlineStr">
        <is>
          <t>T45</t>
        </is>
      </c>
      <c r="C46" s="6" t="inlineStr">
        <is>
          <t>反馈闭环与 B3 看板（Feedback 表 / stats / 幂等 / 分页 / 撤回 / 纠错表单）</t>
        </is>
      </c>
      <c r="D46" s="7" t="inlineStr">
        <is>
          <t>已开发</t>
        </is>
      </c>
      <c r="E46" s="6" t="inlineStr">
        <is>
          <t>代码完成，待执行 migrate_feedback 迁移并验收</t>
        </is>
      </c>
    </row>
    <row r="47" ht="26" customHeight="1">
      <c r="A47" s="35" t="inlineStr">
        <is>
          <t>P8 交付与工程化</t>
        </is>
      </c>
      <c r="B47" s="5" t="inlineStr">
        <is>
          <t>T46</t>
        </is>
      </c>
      <c r="C47" s="6" t="inlineStr">
        <is>
          <t>改写按对话行为分流（new_question 透传、followup 才改写）</t>
        </is>
      </c>
      <c r="D47" s="7" t="inlineStr">
        <is>
          <t>未开发</t>
        </is>
      </c>
      <c r="E47" s="6" t="inlineStr">
        <is>
          <t>生产仍无条件改写，与 0.92 基线口径不一致</t>
        </is>
      </c>
    </row>
    <row r="48" ht="26" customHeight="1">
      <c r="A48" s="35" t="inlineStr">
        <is>
          <t>P8 交付与工程化</t>
        </is>
      </c>
      <c r="B48" s="5" t="inlineStr">
        <is>
          <t>T47</t>
        </is>
      </c>
      <c r="C48" s="6" t="inlineStr">
        <is>
          <t>多用户鉴权与数据隔离（JWT + RBAC + current_user）</t>
        </is>
      </c>
      <c r="D48" s="7" t="inlineStr">
        <is>
          <t>未开发</t>
        </is>
      </c>
      <c r="E48" s="6" t="inlineStr">
        <is>
          <t>反馈 stats 目前会泄露他人提问</t>
        </is>
      </c>
    </row>
    <row r="49" ht="26" customHeight="1">
      <c r="A49" s="35" t="inlineStr">
        <is>
          <t>P8 交付与工程化</t>
        </is>
      </c>
      <c r="B49" s="5" t="inlineStr">
        <is>
          <t>T48</t>
        </is>
      </c>
      <c r="C49" s="6" t="inlineStr">
        <is>
          <t>数据库迁移工程化（Alembic 替代手动 SQL）</t>
        </is>
      </c>
      <c r="D49" s="7" t="inlineStr">
        <is>
          <t>未开发</t>
        </is>
      </c>
      <c r="E49" s="6" t="inlineStr">
        <is>
          <t>现有 migrate_*.sql / migrate_feedback.py 需手动执行</t>
        </is>
      </c>
    </row>
    <row r="50" ht="26" customHeight="1">
      <c r="A50" s="35" t="inlineStr">
        <is>
          <t>P8 交付与工程化</t>
        </is>
      </c>
      <c r="B50" s="5" t="inlineStr">
        <is>
          <t>T49</t>
        </is>
      </c>
      <c r="C50" s="6" t="inlineStr">
        <is>
          <t>全栈容器化与发布归档（Dockerfile + compose；README / 面试可讲内容）</t>
        </is>
      </c>
      <c r="D50" s="7" t="inlineStr">
        <is>
          <t>开发中</t>
        </is>
      </c>
      <c r="E50" s="6" t="inlineStr">
        <is>
          <t>目前仅 Milvus 容器化</t>
        </is>
      </c>
    </row>
    <row r="51" ht="26" customHeight="1">
      <c r="A51" s="36" t="inlineStr">
        <is>
          <t>P9 后续路线图</t>
        </is>
      </c>
      <c r="B51" s="5" t="inlineStr">
        <is>
          <t>T50</t>
        </is>
      </c>
      <c r="C51" s="6" t="inlineStr">
        <is>
          <t>partial 三档证据与阈值标定</t>
        </is>
      </c>
      <c r="D51" s="7" t="inlineStr">
        <is>
          <t>未开发</t>
        </is>
      </c>
      <c r="E51" s="6" t="inlineStr">
        <is>
          <t>已定位：rerank_score_threshold 阈值标定导致 3 条落点不符</t>
        </is>
      </c>
    </row>
    <row r="52" ht="26" customHeight="1">
      <c r="A52" s="36" t="inlineStr">
        <is>
          <t>P9 后续路线图</t>
        </is>
      </c>
      <c r="B52" s="5" t="inlineStr">
        <is>
          <t>T51</t>
        </is>
      </c>
      <c r="C52" s="6" t="inlineStr">
        <is>
          <t>badcase 回流管道与 CI 回归（反馈数据→回归测试）</t>
        </is>
      </c>
      <c r="D52" s="7" t="inlineStr">
        <is>
          <t>未开发</t>
        </is>
      </c>
      <c r="E52" s="6" t="inlineStr">
        <is>
          <t>反馈数据尚未形成数据飞轮</t>
        </is>
      </c>
    </row>
    <row r="53" ht="26" customHeight="1">
      <c r="A53" s="36" t="inlineStr">
        <is>
          <t>P9 后续路线图</t>
        </is>
      </c>
      <c r="B53" s="5" t="inlineStr">
        <is>
          <t>T52</t>
        </is>
      </c>
      <c r="C53" s="6" t="inlineStr">
        <is>
          <t>长对话历史摘要层（format_history 截断 6 轮，早期病情会滑出窗口）</t>
        </is>
      </c>
      <c r="D53" s="7" t="inlineStr">
        <is>
          <t>未开发</t>
        </is>
      </c>
      <c r="E53" s="6" t="inlineStr">
        <is>
          <t>阶段四文档记档</t>
        </is>
      </c>
    </row>
    <row r="54" ht="26" customHeight="1">
      <c r="A54" s="36" t="inlineStr">
        <is>
          <t>P9 后续路线图</t>
        </is>
      </c>
      <c r="B54" s="5" t="inlineStr">
        <is>
          <t>T53</t>
        </is>
      </c>
      <c r="C54" s="6" t="inlineStr">
        <is>
          <t>LangGraph 深化路线（Agentic RAG → Deep Agent → 多智能体问诊）</t>
        </is>
      </c>
      <c r="D54" s="7" t="inlineStr">
        <is>
          <t>未开发</t>
        </is>
      </c>
      <c r="E54" s="6" t="inlineStr">
        <is>
          <t>source_router 与 checkpointer 已铺路</t>
        </is>
      </c>
    </row>
    <row r="55" ht="26" customHeight="1"/>
    <row r="56" ht="26" customHeight="1"/>
    <row r="57" ht="26" customHeight="1"/>
  </sheetData>
  <autoFilter ref="A1:E27"/>
  <conditionalFormatting sqref="D2:D500">
    <cfRule type="cellIs" priority="1" operator="equal" dxfId="0">
      <formula>"未开发"</formula>
    </cfRule>
    <cfRule type="cellIs" priority="2" operator="equal" dxfId="1">
      <formula>"开发中"</formula>
    </cfRule>
    <cfRule type="cellIs" priority="3" operator="equal" dxfId="2">
      <formula>"已开发"</formula>
    </cfRule>
    <cfRule type="cellIs" priority="4" operator="equal" dxfId="3">
      <formula>"已测试"</formula>
    </cfRule>
  </conditionalFormatting>
  <dataValidations count="1">
    <dataValidation sqref="D2:D500" showDropDown="0" showInputMessage="0" showErrorMessage="0" allowBlank="1" errorTitle="无效状态" error="只能填写：未开发、开发中、已开发、已测试" promptTitle="选择状态" prompt="未开发 / 开发中 / 已开发 / 已测试" type="list">
      <formula1>"未开发,开发中,已开发,已测试"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15" customWidth="1" min="8" max="8"/>
  </cols>
  <sheetData>
    <row r="1">
      <c r="A1" s="13" t="inlineStr">
        <is>
          <t>整体进度（自动统计，随「开发进度表」状态列实时更新，无需手改）</t>
        </is>
      </c>
    </row>
    <row r="3">
      <c r="A3" s="3" t="inlineStr">
        <is>
          <t>状态</t>
        </is>
      </c>
      <c r="B3" s="3" t="inlineStr">
        <is>
          <t>数量</t>
        </is>
      </c>
      <c r="C3" s="3" t="inlineStr">
        <is>
          <t>占比</t>
        </is>
      </c>
    </row>
    <row r="4">
      <c r="A4" s="14" t="inlineStr">
        <is>
          <t>未开发</t>
        </is>
      </c>
      <c r="B4" s="7">
        <f>COUNTIF(开发进度表!D:D,A4)</f>
        <v/>
      </c>
      <c r="C4" s="7">
        <f>TEXT(COUNTIF(开发进度表!D:D,A4)/MAX(1,COUNTA(开发进度表!B:B)-1),"0.0%")</f>
        <v/>
      </c>
    </row>
    <row r="5">
      <c r="A5" s="15" t="inlineStr">
        <is>
          <t>开发中</t>
        </is>
      </c>
      <c r="B5" s="7">
        <f>COUNTIF(开发进度表!D:D,A5)</f>
        <v/>
      </c>
      <c r="C5" s="7">
        <f>TEXT(COUNTIF(开发进度表!D:D,A5)/MAX(1,COUNTA(开发进度表!B:B)-1),"0.0%")</f>
        <v/>
      </c>
    </row>
    <row r="6">
      <c r="A6" s="16" t="inlineStr">
        <is>
          <t>已开发</t>
        </is>
      </c>
      <c r="B6" s="7">
        <f>COUNTIF(开发进度表!D:D,A6)</f>
        <v/>
      </c>
      <c r="C6" s="7">
        <f>TEXT(COUNTIF(开发进度表!D:D,A6)/MAX(1,COUNTA(开发进度表!B:B)-1),"0.0%")</f>
        <v/>
      </c>
    </row>
    <row r="7">
      <c r="A7" s="17" t="inlineStr">
        <is>
          <t>已测试</t>
        </is>
      </c>
      <c r="B7" s="7">
        <f>COUNTIF(开发进度表!D:D,A7)</f>
        <v/>
      </c>
      <c r="C7" s="7">
        <f>TEXT(COUNTIF(开发进度表!D:D,A7)/MAX(1,COUNTA(开发进度表!B:B)-1),"0.0%")</f>
        <v/>
      </c>
    </row>
    <row r="8">
      <c r="A8" s="5" t="inlineStr">
        <is>
          <t>合计</t>
        </is>
      </c>
      <c r="B8" s="5">
        <f>SUM(B4:B7)</f>
        <v/>
      </c>
      <c r="C8" s="5" t="inlineStr"/>
    </row>
    <row r="10">
      <c r="A10" s="13" t="inlineStr">
        <is>
          <t>阶段进度（换项目：改 A 列阶段名即可；阶段数不同则插入/删除行并整行复制公式）</t>
        </is>
      </c>
    </row>
    <row r="11">
      <c r="A11" s="3" t="inlineStr">
        <is>
          <t>阶段</t>
        </is>
      </c>
      <c r="B11" s="3" t="inlineStr">
        <is>
          <t>任务卡范围</t>
        </is>
      </c>
      <c r="C11" s="3" t="inlineStr">
        <is>
          <t>卡数</t>
        </is>
      </c>
      <c r="D11" s="3" t="inlineStr">
        <is>
          <t>已测试</t>
        </is>
      </c>
      <c r="E11" s="3" t="inlineStr">
        <is>
          <t>已开发</t>
        </is>
      </c>
      <c r="F11" s="3" t="inlineStr">
        <is>
          <t>开发中</t>
        </is>
      </c>
      <c r="G11" s="3" t="inlineStr">
        <is>
          <t>未开发</t>
        </is>
      </c>
      <c r="H11" s="3" t="inlineStr">
        <is>
          <t>完成率(已测试)</t>
        </is>
      </c>
    </row>
    <row r="12">
      <c r="A12" s="23" t="inlineStr">
        <is>
          <t>P0 环境基建</t>
        </is>
      </c>
      <c r="B12" s="7" t="inlineStr">
        <is>
          <t>T01–T05</t>
        </is>
      </c>
      <c r="C12" s="7">
        <f>COUNTIF(开发进度表!A:A,A12)</f>
        <v/>
      </c>
      <c r="D12" s="7">
        <f>COUNTIFS(开发进度表!A:A,A12,开发进度表!D:D,"已测试")</f>
        <v/>
      </c>
      <c r="E12" s="7">
        <f>COUNTIFS(开发进度表!A:A,A12,开发进度表!D:D,"已开发")</f>
        <v/>
      </c>
      <c r="F12" s="7">
        <f>COUNTIFS(开发进度表!A:A,A12,开发进度表!D:D,"开发中")</f>
        <v/>
      </c>
      <c r="G12" s="7">
        <f>COUNTIFS(开发进度表!A:A,A12,开发进度表!D:D,"未开发")</f>
        <v/>
      </c>
      <c r="H12" s="7">
        <f>TEXT(D12/MAX(1,C12),"0.0%")</f>
        <v/>
      </c>
    </row>
    <row r="13">
      <c r="A13" s="23" t="inlineStr">
        <is>
          <t>P1 数据工程</t>
        </is>
      </c>
      <c r="B13" s="7" t="inlineStr">
        <is>
          <t>T06–T10</t>
        </is>
      </c>
      <c r="C13" s="7">
        <f>COUNTIF(开发进度表!A:A,A13)</f>
        <v/>
      </c>
      <c r="D13" s="7">
        <f>COUNTIFS(开发进度表!A:A,A13,开发进度表!D:D,"已测试")</f>
        <v/>
      </c>
      <c r="E13" s="7">
        <f>COUNTIFS(开发进度表!A:A,A13,开发进度表!D:D,"已开发")</f>
        <v/>
      </c>
      <c r="F13" s="7">
        <f>COUNTIFS(开发进度表!A:A,A13,开发进度表!D:D,"开发中")</f>
        <v/>
      </c>
      <c r="G13" s="7">
        <f>COUNTIFS(开发进度表!A:A,A13,开发进度表!D:D,"未开发")</f>
        <v/>
      </c>
      <c r="H13" s="7">
        <f>TEXT(D13/MAX(1,C13),"0.0%")</f>
        <v/>
      </c>
    </row>
    <row r="14">
      <c r="A14" s="23" t="inlineStr">
        <is>
          <t>P2 检索链路</t>
        </is>
      </c>
      <c r="B14" s="7" t="inlineStr">
        <is>
          <t>T11–T16</t>
        </is>
      </c>
      <c r="C14" s="7">
        <f>COUNTIF(开发进度表!A:A,A14)</f>
        <v/>
      </c>
      <c r="D14" s="7">
        <f>COUNTIFS(开发进度表!A:A,A14,开发进度表!D:D,"已测试")</f>
        <v/>
      </c>
      <c r="E14" s="7">
        <f>COUNTIFS(开发进度表!A:A,A14,开发进度表!D:D,"已开发")</f>
        <v/>
      </c>
      <c r="F14" s="7">
        <f>COUNTIFS(开发进度表!A:A,A14,开发进度表!D:D,"开发中")</f>
        <v/>
      </c>
      <c r="G14" s="7">
        <f>COUNTIFS(开发进度表!A:A,A14,开发进度表!D:D,"未开发")</f>
        <v/>
      </c>
      <c r="H14" s="7">
        <f>TEXT(D14/MAX(1,C14),"0.0%")</f>
        <v/>
      </c>
    </row>
    <row r="15">
      <c r="A15" s="23" t="inlineStr">
        <is>
          <t>P3 生成对话</t>
        </is>
      </c>
      <c r="B15" s="7" t="inlineStr">
        <is>
          <t>T17–T22</t>
        </is>
      </c>
      <c r="C15" s="7">
        <f>COUNTIF(开发进度表!A:A,A15)</f>
        <v/>
      </c>
      <c r="D15" s="7">
        <f>COUNTIFS(开发进度表!A:A,A15,开发进度表!D:D,"已测试")</f>
        <v/>
      </c>
      <c r="E15" s="7">
        <f>COUNTIFS(开发进度表!A:A,A15,开发进度表!D:D,"已开发")</f>
        <v/>
      </c>
      <c r="F15" s="7">
        <f>COUNTIFS(开发进度表!A:A,A15,开发进度表!D:D,"开发中")</f>
        <v/>
      </c>
      <c r="G15" s="7">
        <f>COUNTIFS(开发进度表!A:A,A15,开发进度表!D:D,"未开发")</f>
        <v/>
      </c>
      <c r="H15" s="7">
        <f>TEXT(D15/MAX(1,C15),"0.0%")</f>
        <v/>
      </c>
    </row>
    <row r="16">
      <c r="A16" s="23" t="inlineStr">
        <is>
          <t>P4 对话行为与评测</t>
        </is>
      </c>
      <c r="B16" s="7" t="inlineStr">
        <is>
          <t>T23–T28</t>
        </is>
      </c>
      <c r="C16" s="7">
        <f>COUNTIF(开发进度表!A:A,A16)</f>
        <v/>
      </c>
      <c r="D16" s="7">
        <f>COUNTIFS(开发进度表!A:A,A16,开发进度表!D:D,"已测试")</f>
        <v/>
      </c>
      <c r="E16" s="7">
        <f>COUNTIFS(开发进度表!A:A,A16,开发进度表!D:D,"已开发")</f>
        <v/>
      </c>
      <c r="F16" s="7">
        <f>COUNTIFS(开发进度表!A:A,A16,开发进度表!D:D,"开发中")</f>
        <v/>
      </c>
      <c r="G16" s="7">
        <f>COUNTIFS(开发进度表!A:A,A16,开发进度表!D:D,"未开发")</f>
        <v/>
      </c>
      <c r="H16" s="7">
        <f>TEXT(D16/MAX(1,C16),"0.0%")</f>
        <v/>
      </c>
    </row>
    <row r="17">
      <c r="A17" s="23" t="inlineStr">
        <is>
          <t>P5 人工澄清与交互</t>
        </is>
      </c>
      <c r="B17" s="7" t="inlineStr">
        <is>
          <t>T29–T35</t>
        </is>
      </c>
      <c r="C17" s="7">
        <f>COUNTIF(开发进度表!A:A,A17)</f>
        <v/>
      </c>
      <c r="D17" s="7">
        <f>COUNTIFS(开发进度表!A:A,A17,开发进度表!D:D,"已测试")</f>
        <v/>
      </c>
      <c r="E17" s="7">
        <f>COUNTIFS(开发进度表!A:A,A17,开发进度表!D:D,"已开发")</f>
        <v/>
      </c>
      <c r="F17" s="7">
        <f>COUNTIFS(开发进度表!A:A,A17,开发进度表!D:D,"开发中")</f>
        <v/>
      </c>
      <c r="G17" s="7">
        <f>COUNTIFS(开发进度表!A:A,A17,开发进度表!D:D,"未开发")</f>
        <v/>
      </c>
      <c r="H17" s="7">
        <f>TEXT(D17/MAX(1,C17),"0.0%")</f>
        <v/>
      </c>
    </row>
    <row r="18">
      <c r="A18" s="23" t="inlineStr">
        <is>
          <t>P6 指代消解与忠实性</t>
        </is>
      </c>
      <c r="B18" s="7" t="inlineStr">
        <is>
          <t>T36–T38</t>
        </is>
      </c>
      <c r="C18" s="7">
        <f>COUNTIF(开发进度表!A:A,A18)</f>
        <v/>
      </c>
      <c r="D18" s="7">
        <f>COUNTIFS(开发进度表!A:A,A18,开发进度表!D:D,"已测试")</f>
        <v/>
      </c>
      <c r="E18" s="7">
        <f>COUNTIFS(开发进度表!A:A,A18,开发进度表!D:D,"已开发")</f>
        <v/>
      </c>
      <c r="F18" s="7">
        <f>COUNTIFS(开发进度表!A:A,A18,开发进度表!D:D,"开发中")</f>
        <v/>
      </c>
      <c r="G18" s="7">
        <f>COUNTIFS(开发进度表!A:A,A18,开发进度表!D:D,"未开发")</f>
        <v/>
      </c>
      <c r="H18" s="7">
        <f>TEXT(D18/MAX(1,C18),"0.0%")</f>
        <v/>
      </c>
    </row>
    <row r="19">
      <c r="A19" s="23" t="inlineStr">
        <is>
          <t>P7 前端循证工作台</t>
        </is>
      </c>
      <c r="B19" s="7" t="inlineStr">
        <is>
          <t>T39–T43</t>
        </is>
      </c>
      <c r="C19" s="7">
        <f>COUNTIF(开发进度表!A:A,A19)</f>
        <v/>
      </c>
      <c r="D19" s="7">
        <f>COUNTIFS(开发进度表!A:A,A19,开发进度表!D:D,"已测试")</f>
        <v/>
      </c>
      <c r="E19" s="7">
        <f>COUNTIFS(开发进度表!A:A,A19,开发进度表!D:D,"已开发")</f>
        <v/>
      </c>
      <c r="F19" s="7">
        <f>COUNTIFS(开发进度表!A:A,A19,开发进度表!D:D,"开发中")</f>
        <v/>
      </c>
      <c r="G19" s="7">
        <f>COUNTIFS(开发进度表!A:A,A19,开发进度表!D:D,"未开发")</f>
        <v/>
      </c>
      <c r="H19" s="7">
        <f>TEXT(D19/MAX(1,C19),"0.0%")</f>
        <v/>
      </c>
    </row>
    <row r="20">
      <c r="A20" s="23" t="inlineStr">
        <is>
          <t>P8 交付与工程化</t>
        </is>
      </c>
      <c r="B20" s="7" t="inlineStr">
        <is>
          <t>T44–T49</t>
        </is>
      </c>
      <c r="C20" s="7">
        <f>COUNTIF(开发进度表!A:A,A20)</f>
        <v/>
      </c>
      <c r="D20" s="7">
        <f>COUNTIFS(开发进度表!A:A,A20,开发进度表!D:D,"已测试")</f>
        <v/>
      </c>
      <c r="E20" s="7">
        <f>COUNTIFS(开发进度表!A:A,A20,开发进度表!D:D,"已开发")</f>
        <v/>
      </c>
      <c r="F20" s="7">
        <f>COUNTIFS(开发进度表!A:A,A20,开发进度表!D:D,"开发中")</f>
        <v/>
      </c>
      <c r="G20" s="7">
        <f>COUNTIFS(开发进度表!A:A,A20,开发进度表!D:D,"未开发")</f>
        <v/>
      </c>
      <c r="H20" s="7">
        <f>TEXT(D20/MAX(1,C20),"0.0%")</f>
        <v/>
      </c>
    </row>
    <row r="21">
      <c r="A21" s="23" t="inlineStr">
        <is>
          <t>P9 后续路线图</t>
        </is>
      </c>
      <c r="B21" s="7" t="inlineStr">
        <is>
          <t>T50–T53</t>
        </is>
      </c>
      <c r="C21" s="7">
        <f>COUNTIF(开发进度表!A:A,A21)</f>
        <v/>
      </c>
      <c r="D21" s="7">
        <f>COUNTIFS(开发进度表!A:A,A21,开发进度表!D:D,"已测试")</f>
        <v/>
      </c>
      <c r="E21" s="7">
        <f>COUNTIFS(开发进度表!A:A,A21,开发进度表!D:D,"已开发")</f>
        <v/>
      </c>
      <c r="F21" s="7">
        <f>COUNTIFS(开发进度表!A:A,A21,开发进度表!D:D,"开发中")</f>
        <v/>
      </c>
      <c r="G21" s="7">
        <f>COUNTIFS(开发进度表!A:A,A21,开发进度表!D:D,"未开发")</f>
        <v/>
      </c>
      <c r="H21" s="7">
        <f>TEXT(D21/MAX(1,C21),"0.0%")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62" customWidth="1" min="3" max="3"/>
  </cols>
  <sheetData>
    <row r="1" ht="32" customHeight="1">
      <c r="A1" s="3" t="inlineStr">
        <is>
          <t>状态</t>
        </is>
      </c>
      <c r="B1" s="24" t="inlineStr">
        <is>
          <t>判定标准</t>
        </is>
      </c>
      <c r="C1" s="24" t="inlineStr">
        <is>
          <t>对应流程动作</t>
        </is>
      </c>
    </row>
    <row r="2" ht="32" customHeight="1">
      <c r="A2" s="14" t="inlineStr">
        <is>
          <t>未开发</t>
        </is>
      </c>
      <c r="B2" s="6" t="inlineStr">
        <is>
          <t>任务卡尚未开始</t>
        </is>
      </c>
      <c r="C2" s="6" t="inlineStr">
        <is>
          <t>按依赖顺序从最早未完成卡开始，一次只发一张卡</t>
        </is>
      </c>
    </row>
    <row r="3" ht="32" customHeight="1">
      <c r="A3" s="15" t="inlineStr">
        <is>
          <t>开发中</t>
        </is>
      </c>
      <c r="B3" s="6" t="inlineStr">
        <is>
          <t>任务卡已发出，正在实现</t>
        </is>
      </c>
      <c r="C3" s="6" t="inlineStr">
        <is>
          <t>实现本卡范围 + 编写本卡全部验收测试场景</t>
        </is>
      </c>
    </row>
    <row r="4" ht="32" customHeight="1">
      <c r="A4" s="16" t="inlineStr">
        <is>
          <t>已开发</t>
        </is>
      </c>
      <c r="B4" s="6" t="inlineStr">
        <is>
          <t>代码完成，本卡验收测试全部通过，人工验收未做</t>
        </is>
      </c>
      <c r="C4" s="6" t="inlineStr">
        <is>
          <t>已执行固定收尾（typecheck/lint/test/build + commit），等待人工跑验收命令</t>
        </is>
      </c>
    </row>
    <row r="5" ht="32" customHeight="1">
      <c r="A5" s="17" t="inlineStr">
        <is>
          <t>已测试</t>
        </is>
      </c>
      <c r="B5" s="6" t="inlineStr">
        <is>
          <t>人工验收逐条通过，git commit 完成</t>
        </is>
      </c>
      <c r="C5" s="6" t="inlineStr">
        <is>
          <t>该卡关闭，可开下一张卡；里程碑卡记得打 tag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2026-09-23T09:40:00Z</dcterms:created>
  <dcterms:modified xmlns:dcterms="http://purl.org/dc/terms/" xmlns:xsi="http://www.w3.org/2001/XMLSchema-instance" xsi:type="dcterms:W3CDTF">2026-09-27T10:03:36Z</dcterms:modified>
</cp:coreProperties>
</file>