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22413\Desktop\医疗RAG\"/>
  <bookViews>
    <workbookView activeTab="0"/>
  </bookViews>
  <sheets>
    <sheet name="使用说明" sheetId="1" r:id="rId3"/>
    <sheet name="开发进度表" sheetId="2" r:id="rId4"/>
    <sheet name="进度统计" sheetId="3" r:id="rId5"/>
    <sheet name="状态说明" sheetId="4" r:id="rId6"/>
  </sheets>
  <definedNames>
    <definedName name="_xlnm._FilterDatabase" localSheetId="1" hidden="1">开发进度表!$A$1:$E$27</definedName>
  </definedNames>
  <calcPr calcId="191029"/>
</workbook>
</file>

<file path=xl/sharedStrings.xml><?xml version="1.0" encoding="utf-8"?>
<sst xmlns="http://schemas.openxmlformats.org/spreadsheetml/2006/main" count="257" uniqueCount="257">
  <si>
    <t/>
  </si>
  <si>
    <t>项目开发进度表 · 通用模板</t>
  </si>
  <si>
    <t>本表适用于「任务卡驱动」开发流程：一张任务卡 = 一行进度。换项目时按下述步骤改造即可直接使用。</t>
  </si>
  <si>
    <t>【换项目 5 步】</t>
  </si>
  <si>
    <t>1. 在「开发进度表」中删除旧任务行，粘贴/填写新项目的任务卡（A–C 列：阶段/卡号/任务名称），开发状态列会自动带下拉框。</t>
  </si>
  <si>
    <t>2. 「开发状态」下拉与变色已预置到第 500 行，增加行数无需任何设置。</t>
  </si>
  <si>
    <t>3. 到「进度统计」表，把阶段进度区的 A 列阶段名改成新项目的阶段名，统计公式自动生效（按阶段名匹配）。</t>
  </si>
  <si>
    <t>4. 阶段数不同：在阶段进度区插入/删除行，并把相邻行的公式整行复制过去即可；多余行删除。</t>
  </si>
  <si>
    <t>5. 若任务总数变化，无需改公式——占比按「卡号列非空行数」自动计算。</t>
  </si>
  <si>
    <t>【状态流转口径】</t>
  </si>
  <si>
    <t>未开发 → 开发中（任务卡已发给开发/AI）→ 已开发（代码完成、验收测试全绿）→ 已测试（人工验收逐条通过、已提交）</t>
  </si>
  <si>
    <t>【注意事项】</t>
  </si>
  <si>
    <t>· 新增行后如筛选范围不对，请重新点一次「数据 → 筛选」。</t>
  </si>
  <si>
    <t>· 阶段列底色是静态配色，新增阶段可手动填充颜色区分。</t>
  </si>
  <si>
    <t>· 「进度统计」页无需手改任何数字，全部由公式驱动。</t>
  </si>
  <si>
    <t>阶段</t>
  </si>
  <si>
    <t>卡号</t>
  </si>
  <si>
    <t>任务名称</t>
  </si>
  <si>
    <t>开发状态</t>
  </si>
  <si>
    <t>备注</t>
  </si>
  <si>
    <t>P0 环境基建</t>
  </si>
  <si>
    <t>T01</t>
  </si>
  <si>
    <t>工程初始化与环境约定（conda Python3.10 / pyproject·uv / 依赖安装）</t>
  </si>
  <si>
    <t>已测试</t>
  </si>
  <si>
    <t>conda create -n medical-rag python=3.10</t>
  </si>
  <si>
    <t>T02</t>
  </si>
  <si>
    <t>后端 FastAPI 框架与配置（main.py / config.py / .env / 健康检查）</t>
  </si>
  <si>
    <t>/api/health 探活正常</t>
  </si>
  <si>
    <t>T03</t>
  </si>
  <si>
    <t>MySQL 数据库建模与初始化（utf8mb4 + init_db 建表）</t>
  </si>
  <si>
    <t>字符集 utf8mb4_unicode_ci</t>
  </si>
  <si>
    <t>T04</t>
  </si>
  <si>
    <t>Milvus 向量库部署（docker-compose：etcd/MinIO/Milvus + 健康检查）</t>
  </si>
  <si>
    <t>9091/healthz 就绪</t>
  </si>
  <si>
    <t>T05</t>
  </si>
  <si>
    <t>前端 Vite/React 工程与 /api 代理</t>
  </si>
  <si>
    <t>移除干扰 SSE 的 configure 回调</t>
  </si>
  <si>
    <t>P1 数据工程</t>
  </si>
  <si>
    <t>T06</t>
  </si>
  <si>
    <t>原始医疗数据清洗（clean_data.py：按科室拆分、去重合并）</t>
  </si>
  <si>
    <t>数据存 backend/data/by_department/</t>
  </si>
  <si>
    <t>T07</t>
  </si>
  <si>
    <t>数据格式桥梁修复（data_loader.py 加载清洗 JSON、字段映射）</t>
  </si>
  <si>
    <t>instruction→title 等映射</t>
  </si>
  <si>
    <t>T08</t>
  </si>
  <si>
    <t>文档切分与预处理（text_split.py）</t>
  </si>
  <si>
    <t>内置切分+embedding</t>
  </si>
  <si>
    <t>T09</t>
  </si>
  <si>
    <t>向量化入库（ingest.py→Milvus，bge-large-zh-v1.5 全量60.5万）</t>
  </si>
  <si>
    <t>GPU 可加速，先 --limit 小批验证</t>
  </si>
  <si>
    <t>T10</t>
  </si>
  <si>
    <t>BM25 索引构建与启动预热（gen_bm25_cache + lifespan 预热）</t>
  </si>
  <si>
    <t>k=20 与检索参数一致</t>
  </si>
  <si>
    <t>P2 检索链路</t>
  </si>
  <si>
    <t>T11</t>
  </si>
  <si>
    <t>混合检索（vectorstore.py：向量/BM25 权重融合、动态权重读取）</t>
  </si>
  <si>
    <t>权重：tuned &gt; .env &gt; 默认</t>
  </si>
  <si>
    <t>T12</t>
  </si>
  <si>
    <t>查询改写（query_rewriter.py：多路改写 + 历史上下文 + 失败兜底）</t>
  </si>
  <si>
    <t>修复 quries→queries 拼写</t>
  </si>
  <si>
    <t>T13</t>
  </si>
  <si>
    <t>Reranker 精排（reranker.py：bge-reranker-v2-m3、top_k 配置化）</t>
  </si>
  <si>
    <t>FlagEmbedding 依赖</t>
  </si>
  <si>
    <t>T14</t>
  </si>
  <si>
    <t>文档上传与全局去重（documents.py：content_hash 唯一索引）</t>
  </si>
  <si>
    <t>多用户化待 P5-T25</t>
  </si>
  <si>
    <t>P3 生成对话</t>
  </si>
  <si>
    <t>T15</t>
  </si>
  <si>
    <t>DeepSeek LLM 接入（llm.py + 调用失败兜底）</t>
  </si>
  <si>
    <t>账户余额不足会回退原始问题</t>
  </si>
  <si>
    <t>T16</t>
  </si>
  <si>
    <t>生成链与医学提示词（rag_chain.py + MEDICAL_PROMPT + user_statement）</t>
  </si>
  <si>
    <t>资料症状不得误归为用户症状</t>
  </si>
  <si>
    <t>T17</t>
  </si>
  <si>
    <t>SSE 流式回答（流式输出 + fetch no-store 防 404 缓存）</t>
  </si>
  <si>
    <t>cache:no-store 修复浏览器缓存</t>
  </si>
  <si>
    <t>T18</t>
  </si>
  <si>
    <t>会话管理 &amp; 多轮上下文（conversations.py + db.commit 前置持久化）</t>
  </si>
  <si>
    <t>流开始前 commit 防会话丢失</t>
  </si>
  <si>
    <t>T19</t>
  </si>
  <si>
    <t>前端多轮会话修复（会话ID保留、历史主诉提取/兜底改写）</t>
  </si>
  <si>
    <t>第二问携带同一 conversation_id</t>
  </si>
  <si>
    <t>P4 评估调优</t>
  </si>
  <si>
    <t>T20</t>
  </si>
  <si>
    <t>检索评估脚本（eval_rag.py：build/eval/tune/summary 四种模式）</t>
  </si>
  <si>
    <t>numpy 依赖补充</t>
  </si>
  <si>
    <t>T21</t>
  </si>
  <si>
    <t>检索权重自动调优（tune→data/tuned_weights.json 动态生效）</t>
  </si>
  <si>
    <t>重启后端生效</t>
  </si>
  <si>
    <t>T22</t>
  </si>
  <si>
    <t>系统质量评估与优化（相似度/命中率/MRR/覆盖率）</t>
  </si>
  <si>
    <t>命中率0.76需提升，top_k 5→8 待执行</t>
  </si>
  <si>
    <t>P5 部署收尾</t>
  </si>
  <si>
    <t>T23</t>
  </si>
  <si>
    <t>Docker/环境部署与验证（docker-compose、健康检查、README 部署指南）</t>
  </si>
  <si>
    <t>已开发</t>
  </si>
  <si>
    <t>含部署流程文档，待端到端真机验收</t>
  </si>
  <si>
    <t>T24</t>
  </si>
  <si>
    <t>多用户鉴权（JWT + RBAC + current_user 数据隔离）</t>
  </si>
  <si>
    <t>未开发</t>
  </si>
  <si>
    <t>接线点已预留</t>
  </si>
  <si>
    <t>T25</t>
  </si>
  <si>
    <t>文档去重多用户化（user_id + content_hash 联合唯一索引）</t>
  </si>
  <si>
    <t>依赖 T24</t>
  </si>
  <si>
    <t>T26</t>
  </si>
  <si>
    <t>GitHub 发布上传</t>
  </si>
  <si>
    <t>开发中</t>
  </si>
  <si>
    <t>.gitignore 已排除 .dumate</t>
  </si>
  <si>
    <t>整体进度（自动统计，随「开发进度表」状态列实时更新，无需手改）</t>
  </si>
  <si>
    <t>状态</t>
  </si>
  <si>
    <t>数量</t>
  </si>
  <si>
    <t>占比</t>
  </si>
  <si>
    <t>7.7%</t>
  </si>
  <si>
    <t>3.8%</t>
  </si>
  <si>
    <t>84.6%</t>
  </si>
  <si>
    <t>合计</t>
  </si>
  <si>
    <t>阶段进度（换项目：改 A 列阶段名即可；阶段数不同则插入/删除行并整行复制公式）</t>
  </si>
  <si>
    <t>任务卡范围</t>
  </si>
  <si>
    <t>卡数</t>
  </si>
  <si>
    <t>完成率(已测试)</t>
  </si>
  <si>
    <t>T01–T05</t>
  </si>
  <si>
    <t>100.0%</t>
  </si>
  <si>
    <t>T06–T10</t>
  </si>
  <si>
    <t>T11–T14</t>
  </si>
  <si>
    <t>T15–T19</t>
  </si>
  <si>
    <t>T20–T22</t>
  </si>
  <si>
    <t>T23–T26</t>
  </si>
  <si>
    <t>0.0%</t>
  </si>
  <si>
    <t>判定标准</t>
  </si>
  <si>
    <t>对应流程动作</t>
  </si>
  <si>
    <t>任务卡尚未开始</t>
  </si>
  <si>
    <t>按依赖顺序从最早未完成卡开始，一次只发一张卡</t>
  </si>
  <si>
    <t>任务卡已发出，正在实现</t>
  </si>
  <si>
    <t>实现本卡范围 + 编写本卡全部验收测试场景</t>
  </si>
  <si>
    <t>代码完成，本卡验收测试全部通过，人工验收未做</t>
  </si>
  <si>
    <t>已执行固定收尾（typecheck/lint/test/build + commit），等待人工跑验收命令</t>
  </si>
  <si>
    <t>人工验收逐条通过，git commit 完成</t>
  </si>
  <si>
    <t>该卡关闭，可开下一张卡；里程碑卡记得打 tag</t>
  </si>
  <si>
    <t>conda create -n medical-rag python=3.10；实际运行环境为 .conda/envs/RAG（Py3.11），base 缺 langchain_huggingface 不可用作运行环境</t>
  </si>
  <si>
    <t>工程安全与版本库卫生（密钥密码入 .env、.gitignore 排大文件、.env.example 补全）</t>
  </si>
  <si>
    <t>backend/data 与语料目录不入库；已复核源码无明文密码残留</t>
  </si>
  <si>
    <t>instruction→title 等映射；扩展名/大小改读 settings</t>
  </si>
  <si>
    <t>内置切分+embedding；已实现但 ingest 未调用，见 T13</t>
  </si>
  <si>
    <t>向量化入库（ingest.py→Milvus，bge-large-zh-v1.5 全量 60.5 万）</t>
  </si>
  <si>
    <t>GPU fp16 可加速，先 --limit 小批验证</t>
  </si>
  <si>
    <t>k=20 与检索参数一致；09-12 起改 Milvus 服务端 BM25 Function，客户端 pkl 与 gen_bm25_cache.py 已废弃</t>
  </si>
  <si>
    <t>全量重入库与前置检查（preflight_check.py；清洗数据接入，79.2万→60.5万）</t>
  </si>
  <si>
    <t>实测 fp16 约 110 条/秒，全量约 2~2.5 小时，向量化占 80%</t>
  </si>
  <si>
    <t>切分接入 ingest（消除 max_seq_length=320 静默截断）</t>
  </si>
  <si>
    <t>实测 14.4% 记录超长被截断（P99=920 token）；split(500/50) 仅 +5% 向量量、约 +5 分钟</t>
  </si>
  <si>
    <t>写入路径重构（add_documents 走 pymilvus 原生 insert，弃 langchain_milvus 封装）</t>
  </si>
  <si>
    <t>用独立测试 collection 验证后 drop，未污染正式 60 万数据</t>
  </si>
  <si>
    <t>11.5%</t>
  </si>
  <si>
    <t>87.5%</t>
  </si>
  <si>
    <t>80.8%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</si>
  <si>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</si>
  <si>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</si>
  <si>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</si>
  <si>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</si>
  <si>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</si>
  <si>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</si>
  <si>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</si>
  <si>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</si>
  <si>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</si>
  <si>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</si>
  <si>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</si>
  <si>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检索链路架构统一（弃 langchain-milvus 封装与 516MB 客户端 BM25 缓存）</t>
  </si>
  <si>
    <t>改写输出契约封闭化（RewriteResult + 收敛守卫：元话语/超长/前缀拦截）</t>
  </si>
  <si>
    <t>Reranker 离线加载修复（本地快照路径 + HF 离线开关 + devices 参数纠错）</t>
  </si>
  <si>
    <t>相关性闸门（rerank top_score 低于阈值置空 context，对应 CRAG evaluator）</t>
  </si>
  <si>
    <t>证据二档 + 独立兜底节点（strong/none 分流，无证据走独立 Prompt 且禁引用）</t>
  </si>
  <si>
    <t>多路召回融合接入（原文 + 改写双路召回）</t>
  </si>
  <si>
    <t>上传/删除链路加固（同名自动改名、文件名安全校验、删除改按 doc_id）</t>
  </si>
  <si>
    <t>LLM 服务选型定档（TTFT/吞吐基准对比 + 超时重试配置）</t>
  </si>
  <si>
    <t>SSE 中断不丢回答（客户端断开时仍落库，finally 兜底 + 独立 Session）</t>
  </si>
  <si>
    <t>前端多轮会话修复（会话 ID 保留、历史主诉提取/兜底改写）</t>
  </si>
  <si>
    <t>LangGraph 图编排迁移（父图 + 检索子图、trace 累加、流式接生产）</t>
  </si>
  <si>
    <t>前端检索过程面板（SSE trace 事件 + Chat.tsx 时间线）</t>
  </si>
  <si>
    <t>多轮连贯性治理（意图分流 + user_statement 收紧 + Prompt 对话行为规则）</t>
  </si>
  <si>
    <t>后端异步阻塞与 DB 级联修复（阻塞调用移出事件循环 + 消息级联删除）</t>
  </si>
  <si>
    <t>对话行为四分类 + focus_entity 指代管理（阶段一）</t>
  </si>
  <si>
    <t>权重优先级 tuned &gt; .env &gt; 默认；hybrid_search(k=20) 实返约 39 条并集</t>
  </si>
  <si>
    <t>修复「问答不可用」；rag_chain.retrieve 改委托图检索子图，消除双实现漂移</t>
  </si>
  <si>
    <t>修「（用户过于简短，无法判断具体意图）」被当检索词；单测 11/11；未提交</t>
  </si>
  <si>
    <t>FlagEmbedding 依赖；分数 normalize=True 已过 sigmoid，落在 (0,1)</t>
  </si>
  <si>
    <t>四道防线；挂不可达代理断网实测加载成功；未提交</t>
  </si>
  <si>
    <t>实测分数双峰 0.999 / 0.022 / 0.000，阈值 0.30 安全；未提交</t>
  </si>
  <si>
    <t>修「不了」硬编 [1]；端到端 7 例通过；未提交</t>
  </si>
  <si>
    <t>multi_query 已实现但未接入生产链路</t>
  </si>
  <si>
    <t>多用户化待 T53</t>
  </si>
  <si>
    <t>破坏性变更：DELETE /api/uploads/{filename} → {doc_id}，并联动清理向量块</t>
  </si>
  <si>
    <t>账户余额不足会回退原始问题；streaming=True</t>
  </si>
  <si>
    <t>定档 deepseek-ai/DeepSeek-V4-Flash（TTFT 1.8s / 37.7 字每秒）；timeout=180、max_retries=1；未提交</t>
  </si>
  <si>
    <t>RST 断连实测通过；commit 023552d</t>
  </si>
  <si>
    <t>检索逻辑只在 graph.py 维护一份；astream_answer 支持 updates+messages 双模式；未提交</t>
  </si>
  <si>
    <t>tsc 零错误；trace 未落库，历史会话不显示面板；未提交</t>
  </si>
  <si>
    <t>意图规则单测 13/13；「好的」短路到闲聊路径，无引用无声明；未提交</t>
  </si>
  <si>
    <t>并发 health 34 次最大延迟 0.304s；删会话无残留</t>
  </si>
  <si>
    <t>dialogue_act：medical_question/followup/acknowledgment/chitchat；正解在分类器升级（语义路由）</t>
  </si>
  <si>
    <t>8.1%</t>
  </si>
  <si>
    <t>54.5%</t>
  </si>
  <si>
    <t>21.6%</t>
  </si>
  <si>
    <t>58.3%</t>
  </si>
  <si>
    <t>70.3%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</si>
  <si>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</si>
  <si>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</si>
  <si>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</si>
  <si>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</si>
  <si>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</si>
  <si>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</si>
  <si>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</si>
  <si>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</si>
  <si>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</si>
  <si>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</si>
  <si>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</si>
  <si>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</si>
  <si>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</si>
  <si>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</si>
  <si>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</si>
  <si>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</si>
  <si>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</si>
  <si>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评估常态化（baselines/history/compare 三层归档 + 回归阈值 + CLI）</t>
  </si>
  <si>
    <t>漏检归因排查（原文 50/50 vs 改写 34/50，改写是漏检真凶）</t>
  </si>
  <si>
    <t>评估可复现（改写走零温 + 改写结果落盘缓存 + 跨进程验证）</t>
  </si>
  <si>
    <t>指标口径修正（hit/mrr 由两路并集改为严格 Top-K 融合排序）</t>
  </si>
  <si>
    <t>50 条对抗样本集（20 闲聊确认 / 10 指代追问 / 10 话题切换 / 10 库中无）</t>
  </si>
  <si>
    <t>partial 三档（改用覆盖度定义：Top-K 中过阈值文档占比）</t>
  </si>
  <si>
    <t>忠实性校验（Groundedness Check）</t>
  </si>
  <si>
    <t>依赖源固化（requirements 与 pyproject/uv.lock 统一、补齐 langgraph）</t>
  </si>
  <si>
    <t>数据卫生清理（21 条孤儿消息、测试会话 33/34、uploads 357MB CSV、bm25_docs.pkl 516MB）</t>
  </si>
  <si>
    <t>整批改动提交（app/*.py 与 scripts/eval_rag.py 大量未提交改动）</t>
  </si>
  <si>
    <t>结论：权重对命中率几乎无影响；事故脏值 0.5/0.5 已改回 0.3/0.7</t>
  </si>
  <si>
    <t>coverage 在脏 GT 上不可靠，判质量优先看 similarity 与 LLM 裁判</t>
  </si>
  <si>
    <t>含 --verbose 分阶段耗时、build --out 小样本、md5 不一致时不输出回归结论；未提交</t>
  </si>
  <si>
    <t>reranker 与融合权重均无损失；新增 --no-rewrite；测试集自指偏差已定性为「回归哨兵」；未提交</t>
  </si>
  <si>
    <t>跨进程 50 题 50 hits/0 misses、逐字不同 0 条；冻结查询集参考点 hit 0.82 / mrr 0.7757；未提交</t>
  </si>
  <si>
    <t>现口径基于约 39 条并集，偏宽松</t>
  </si>
  <si>
    <t>用于按错误性质分类统计，判断「够了没有」；以后每次改造可复用</t>
  </si>
  <si>
    <t>需先造「医学相关但库中无精确匹配」标定数据；分数双峰，按区间切是空档</t>
  </si>
  <si>
    <t>生成后校验断言是否被 context 支持；便宜版可只校验 [n] 是否真存在于 sources</t>
  </si>
  <si>
    <t>README 已按当前架构重写；含部署流程文档，待端到端真机验收</t>
  </si>
  <si>
    <t>已补 FlagEmbedding、移除 langchain-milvus 与 rank-bm25；langgraph 仍缺、双依赖源未统一</t>
  </si>
  <si>
    <t>健康会话 25–31 勿动</t>
  </si>
  <si>
    <t>目前仅 77f1c08 / 023552d 两个提交，09-12 之后的工作全部未提交</t>
  </si>
  <si>
    <t>依赖 T52</t>
  </si>
  <si>
    <t>.gitignore 已排除 .dumate；需先完成 T51</t>
  </si>
  <si>
    <t>20.4%</t>
  </si>
  <si>
    <t>3.7%</t>
  </si>
  <si>
    <t>22.2%</t>
  </si>
  <si>
    <t>53.7%</t>
  </si>
  <si>
    <t>30.0%</t>
  </si>
  <si>
    <t>T01–T06</t>
  </si>
  <si>
    <t>T07–T14</t>
  </si>
  <si>
    <t>T15–T25</t>
  </si>
  <si>
    <t>T26–T37</t>
  </si>
  <si>
    <t>T38–T47</t>
  </si>
  <si>
    <t>T48–T54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</si>
</sst>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38">
    <font>
      <name val="Noto Sans SC"/>
      <charset val="134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"/>
      <b val="1"/>
      <sz val="12"/>
    </font>
    <font>
      <name val="微软雅黑"/>
      <charset val="1"/>
      <sz val="10"/>
    </font>
    <font>
      <name val="微软雅黑"/>
      <charset val="1"/>
      <b val="1"/>
      <color rgb="FFFFFFFF"/>
      <sz val="10"/>
    </font>
    <font>
      <name val="微软雅黑"/>
      <charset val="1"/>
      <b val="1"/>
      <sz val="10"/>
    </font>
    <font>
      <name val="微软雅黑"/>
      <charset val="1"/>
      <b val="1"/>
      <sz val="11"/>
    </font>
    <font>
      <name val="微软雅黑"/>
      <charset val="1"/>
      <b val="1"/>
      <color rgb="FF6B7280"/>
      <sz val="10"/>
    </font>
    <font>
      <name val="微软雅黑"/>
      <charset val="1"/>
      <b val="1"/>
      <color rgb="FFB45309"/>
      <sz val="10"/>
    </font>
    <font>
      <name val="微软雅黑"/>
      <charset val="1"/>
      <b val="1"/>
      <color rgb="FF1D4ED8"/>
      <sz val="10"/>
    </font>
    <font>
      <name val="微软雅黑"/>
      <charset val="1"/>
      <b val="1"/>
      <color rgb="FF047857"/>
      <sz val="10"/>
    </font>
    <font>
      <b val="1"/>
      <color rgb="FF047857"/>
    </font>
    <font>
      <b val="1"/>
      <color rgb="FF1D4ED8"/>
    </font>
    <font>
      <b val="1"/>
      <color rgb="FF6B7280"/>
    </font>
    <font>
      <b val="1"/>
      <color rgb="FFB45309"/>
    </font>
    <font>
      <name val="Noto Sans SC"/>
      <charset val="134"/>
      <color theme="1"/>
      <sz val="11"/>
    </font>
    <font>
      <name val="Calibri"/>
      <charset val="0"/>
      <color rgb="FF0000FF"/>
      <sz val="11"/>
      <u/>
      <scheme val="minor"/>
    </font>
    <font>
      <name val="Arial"/>
      <charset val="134"/>
      <sz val="10"/>
    </font>
    <font>
      <name val="Calibri"/>
      <charset val="0"/>
      <color rgb="FF800080"/>
      <sz val="11"/>
      <u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DE9FE"/>
        <bgColor rgb="FFFCE7F3"/>
      </patternFill>
    </fill>
    <fill>
      <patternFill patternType="solid">
        <fgColor rgb="FFDBEAFE"/>
        <bgColor rgb="FFE0F2FE"/>
      </patternFill>
    </fill>
    <fill>
      <patternFill patternType="solid">
        <fgColor rgb="FFFEF3C7"/>
        <bgColor rgb="FFF3F4F6"/>
      </patternFill>
    </fill>
    <fill>
      <patternFill patternType="solid">
        <fgColor rgb="FFD1FAE5"/>
        <bgColor rgb="FFE0F2FE"/>
      </patternFill>
    </fill>
    <fill>
      <patternFill patternType="solid">
        <fgColor rgb="FFFCE7F3"/>
        <bgColor rgb="FFEDE9FE"/>
      </patternFill>
    </fill>
    <fill>
      <patternFill patternType="solid">
        <fgColor rgb="FFE0F2FE"/>
        <bgColor rgb="FFDBEAFE"/>
      </patternFill>
    </fill>
    <fill>
      <patternFill patternType="solid">
        <fgColor rgb="FFF3F4F6"/>
        <bgColor rgb="FFEDE9FE"/>
      </patternFill>
    </fill>
    <fill>
      <patternFill patternType="solid">
        <bgColor rgb="FFD1FAE5"/>
      </patternFill>
    </fill>
    <fill>
      <patternFill patternType="solid">
        <bgColor rgb="FFDBEAFE"/>
      </patternFill>
    </fill>
    <fill>
      <patternFill patternType="solid">
        <bgColor rgb="FFF3F4F6"/>
      </patternFill>
    </fill>
    <fill>
      <patternFill patternType="solid">
        <bgColor rgb="FFFEF3C7"/>
      </patternFill>
    </fill>
    <fill>
      <patternFill patternType="solid">
        <fgColor rgb="FFEDE9FE"/>
        <bgColor rgb="FFEDE9FE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D1FAE5"/>
        <bgColor rgb="FFD1FAE5"/>
      </patternFill>
    </fill>
    <fill>
      <patternFill patternType="solid">
        <fgColor rgb="FFFCE7F3"/>
        <bgColor rgb="FFFCE7F3"/>
      </patternFill>
    </fill>
    <fill>
      <patternFill patternType="solid">
        <fgColor rgb="FFE0F2FE"/>
        <bgColor rgb="FFE0F2FE"/>
      </patternFill>
    </fill>
    <fill>
      <patternFill patternType="solid">
        <fgColor rgb=""/>
        <bgColor rgb=""/>
      </patternFill>
    </fill>
    <fill>
      <patternFill patternType="solid">
        <fgColor rgb="FFE0F2FE"/>
        <bgColor rgb="FFE0F2FE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16" fillId="0" borderId="2" xfId="0"/>
    <xf numFmtId="300" fontId="17" fillId="23" borderId="2" xfId="0" applyNumberFormat="0" applyFill="0" applyBorder="0" applyAlignment="0" applyProtection="0">
      <alignment vertical="center"/>
    </xf>
    <xf numFmtId="301" fontId="18" fillId="23" borderId="2" xfId="0" applyBorder="0" applyAlignment="0" applyProtection="0"/>
    <xf numFmtId="302" fontId="18" fillId="23" borderId="2" xfId="0" applyBorder="0" applyAlignment="0" applyProtection="0"/>
    <xf numFmtId="303" fontId="18" fillId="23" borderId="2" xfId="0" applyBorder="0" applyAlignment="0" applyProtection="0"/>
    <xf numFmtId="304" fontId="18" fillId="23" borderId="2" xfId="0" applyBorder="0" applyAlignment="0" applyProtection="0"/>
    <xf numFmtId="305" fontId="18" fillId="23" borderId="2" xfId="0" applyBorder="0" applyAlignment="0" applyProtection="0"/>
    <xf numFmtId="300" fontId="19" fillId="23" borderId="2" xfId="0" applyNumberFormat="0" applyFill="0" applyBorder="0" applyAlignment="0" applyProtection="0">
      <alignment vertical="center"/>
    </xf>
    <xf numFmtId="300" fontId="20" fillId="24" borderId="3" xfId="0" applyNumberFormat="0" applyFont="0" applyAlignment="0" applyProtection="0">
      <alignment vertical="center"/>
    </xf>
    <xf numFmtId="300" fontId="21" fillId="23" borderId="2" xfId="0" applyNumberFormat="0" applyFill="0" applyBorder="0" applyAlignment="0" applyProtection="0">
      <alignment vertical="center"/>
    </xf>
    <xf numFmtId="300" fontId="22" fillId="23" borderId="2" xfId="0" applyNumberFormat="0" applyFill="0" applyBorder="0" applyAlignment="0" applyProtection="0">
      <alignment vertical="center"/>
    </xf>
    <xf numFmtId="300" fontId="23" fillId="23" borderId="2" xfId="0" applyNumberFormat="0" applyFill="0" applyBorder="0" applyAlignment="0" applyProtection="0">
      <alignment vertical="center"/>
    </xf>
    <xf numFmtId="300" fontId="24" fillId="23" borderId="4" xfId="0" applyNumberFormat="0" applyFill="0" applyAlignment="0" applyProtection="0">
      <alignment vertical="center"/>
    </xf>
    <xf numFmtId="300" fontId="25" fillId="23" borderId="4" xfId="0" applyNumberFormat="0" applyFill="0" applyAlignment="0" applyProtection="0">
      <alignment vertical="center"/>
    </xf>
    <xf numFmtId="300" fontId="26" fillId="23" borderId="5" xfId="0" applyNumberFormat="0" applyFill="0" applyAlignment="0" applyProtection="0">
      <alignment vertical="center"/>
    </xf>
    <xf numFmtId="300" fontId="26" fillId="23" borderId="2" xfId="0" applyNumberFormat="0" applyFill="0" applyBorder="0" applyAlignment="0" applyProtection="0">
      <alignment vertical="center"/>
    </xf>
    <xf numFmtId="300" fontId="27" fillId="25" borderId="6" xfId="0" applyNumberFormat="0" applyAlignment="0" applyProtection="0">
      <alignment vertical="center"/>
    </xf>
    <xf numFmtId="300" fontId="28" fillId="26" borderId="7" xfId="0" applyNumberFormat="0" applyAlignment="0" applyProtection="0">
      <alignment vertical="center"/>
    </xf>
    <xf numFmtId="300" fontId="29" fillId="26" borderId="6" xfId="0" applyNumberFormat="0" applyAlignment="0" applyProtection="0">
      <alignment vertical="center"/>
    </xf>
    <xf numFmtId="300" fontId="30" fillId="27" borderId="8" xfId="0" applyNumberFormat="0" applyAlignment="0" applyProtection="0">
      <alignment vertical="center"/>
    </xf>
    <xf numFmtId="300" fontId="31" fillId="23" borderId="9" xfId="0" applyNumberFormat="0" applyFill="0" applyAlignment="0" applyProtection="0">
      <alignment vertical="center"/>
    </xf>
    <xf numFmtId="300" fontId="32" fillId="23" borderId="10" xfId="0" applyNumberFormat="0" applyFill="0" applyAlignment="0" applyProtection="0">
      <alignment vertical="center"/>
    </xf>
    <xf numFmtId="300" fontId="33" fillId="28" borderId="2" xfId="0" applyNumberFormat="0" applyBorder="0" applyAlignment="0" applyProtection="0">
      <alignment vertical="center"/>
    </xf>
    <xf numFmtId="300" fontId="34" fillId="29" borderId="2" xfId="0" applyNumberFormat="0" applyBorder="0" applyAlignment="0" applyProtection="0">
      <alignment vertical="center"/>
    </xf>
    <xf numFmtId="300" fontId="35" fillId="30" borderId="2" xfId="0" applyNumberFormat="0" applyBorder="0" applyAlignment="0" applyProtection="0">
      <alignment vertical="center"/>
    </xf>
    <xf numFmtId="300" fontId="36" fillId="31" borderId="2" xfId="0" applyNumberFormat="0" applyBorder="0" applyAlignment="0" applyProtection="0">
      <alignment vertical="center"/>
    </xf>
    <xf numFmtId="300" fontId="37" fillId="32" borderId="2" xfId="0" applyNumberFormat="0" applyBorder="0" applyAlignment="0" applyProtection="0">
      <alignment vertical="center"/>
    </xf>
    <xf numFmtId="300" fontId="37" fillId="33" borderId="2" xfId="0" applyNumberFormat="0" applyBorder="0" applyAlignment="0" applyProtection="0">
      <alignment vertical="center"/>
    </xf>
    <xf numFmtId="300" fontId="36" fillId="34" borderId="2" xfId="0" applyNumberFormat="0" applyBorder="0" applyAlignment="0" applyProtection="0">
      <alignment vertical="center"/>
    </xf>
    <xf numFmtId="300" fontId="36" fillId="35" borderId="2" xfId="0" applyNumberFormat="0" applyBorder="0" applyAlignment="0" applyProtection="0">
      <alignment vertical="center"/>
    </xf>
    <xf numFmtId="300" fontId="37" fillId="36" borderId="2" xfId="0" applyNumberFormat="0" applyBorder="0" applyAlignment="0" applyProtection="0">
      <alignment vertical="center"/>
    </xf>
    <xf numFmtId="300" fontId="37" fillId="37" borderId="2" xfId="0" applyNumberFormat="0" applyBorder="0" applyAlignment="0" applyProtection="0">
      <alignment vertical="center"/>
    </xf>
    <xf numFmtId="300" fontId="36" fillId="38" borderId="2" xfId="0" applyNumberFormat="0" applyBorder="0" applyAlignment="0" applyProtection="0">
      <alignment vertical="center"/>
    </xf>
    <xf numFmtId="300" fontId="36" fillId="39" borderId="2" xfId="0" applyNumberFormat="0" applyBorder="0" applyAlignment="0" applyProtection="0">
      <alignment vertical="center"/>
    </xf>
    <xf numFmtId="300" fontId="37" fillId="40" borderId="2" xfId="0" applyNumberFormat="0" applyBorder="0" applyAlignment="0" applyProtection="0">
      <alignment vertical="center"/>
    </xf>
    <xf numFmtId="300" fontId="37" fillId="41" borderId="2" xfId="0" applyNumberFormat="0" applyBorder="0" applyAlignment="0" applyProtection="0">
      <alignment vertical="center"/>
    </xf>
    <xf numFmtId="300" fontId="36" fillId="42" borderId="2" xfId="0" applyNumberFormat="0" applyBorder="0" applyAlignment="0" applyProtection="0">
      <alignment vertical="center"/>
    </xf>
    <xf numFmtId="300" fontId="36" fillId="43" borderId="2" xfId="0" applyNumberFormat="0" applyBorder="0" applyAlignment="0" applyProtection="0">
      <alignment vertical="center"/>
    </xf>
    <xf numFmtId="300" fontId="37" fillId="44" borderId="2" xfId="0" applyNumberFormat="0" applyBorder="0" applyAlignment="0" applyProtection="0">
      <alignment vertical="center"/>
    </xf>
    <xf numFmtId="300" fontId="37" fillId="45" borderId="2" xfId="0" applyNumberFormat="0" applyBorder="0" applyAlignment="0" applyProtection="0">
      <alignment vertical="center"/>
    </xf>
    <xf numFmtId="300" fontId="36" fillId="46" borderId="2" xfId="0" applyNumberFormat="0" applyBorder="0" applyAlignment="0" applyProtection="0">
      <alignment vertical="center"/>
    </xf>
    <xf numFmtId="300" fontId="36" fillId="47" borderId="2" xfId="0" applyNumberFormat="0" applyBorder="0" applyAlignment="0" applyProtection="0">
      <alignment vertical="center"/>
    </xf>
    <xf numFmtId="300" fontId="37" fillId="48" borderId="2" xfId="0" applyNumberFormat="0" applyBorder="0" applyAlignment="0" applyProtection="0">
      <alignment vertical="center"/>
    </xf>
    <xf numFmtId="300" fontId="37" fillId="49" borderId="2" xfId="0" applyNumberFormat="0" applyBorder="0" applyAlignment="0" applyProtection="0">
      <alignment vertical="center"/>
    </xf>
    <xf numFmtId="300" fontId="36" fillId="50" borderId="2" xfId="0" applyNumberFormat="0" applyBorder="0" applyAlignment="0" applyProtection="0">
      <alignment vertical="center"/>
    </xf>
    <xf numFmtId="300" fontId="36" fillId="51" borderId="2" xfId="0" applyNumberFormat="0" applyBorder="0" applyAlignment="0" applyProtection="0">
      <alignment vertical="center"/>
    </xf>
    <xf numFmtId="300" fontId="37" fillId="52" borderId="2" xfId="0" applyNumberFormat="0" applyBorder="0" applyAlignment="0" applyProtection="0">
      <alignment vertical="center"/>
    </xf>
    <xf numFmtId="300" fontId="37" fillId="53" borderId="2" xfId="0" applyNumberFormat="0" applyBorder="0" applyAlignment="0" applyProtection="0">
      <alignment vertical="center"/>
    </xf>
    <xf numFmtId="300" fontId="36" fillId="54" borderId="2" xf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2" xfId="0" applyFont="1" applyAlignment="1">
      <alignment vertical="center" wrapText="1"/>
    </xf>
    <xf numFmtId="300" fontId="4" fillId="0" borderId="2" xfId="0" applyFont="1" applyAlignment="1">
      <alignment vertical="center" wrapText="1"/>
    </xf>
    <xf numFmtId="300" fontId="5" fillId="2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6" fillId="0" borderId="1" xfId="0" applyFont="1" applyBorder="1" applyAlignment="1">
      <alignment horizontal="center" vertical="center" wrapText="1"/>
    </xf>
    <xf numFmtId="300" fontId="4" fillId="0" borderId="1" xfId="0" applyFont="1" applyBorder="1" applyAlignment="1">
      <alignment horizontal="left" vertical="center" wrapText="1"/>
    </xf>
    <xf numFmtId="300" fontId="4" fillId="0" borderId="1" xfId="0" applyFont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center" vertical="center" wrapText="1"/>
    </xf>
    <xf numFmtId="300" fontId="4" fillId="5" borderId="1" xfId="0" applyFont="1" applyFill="1" applyBorder="1" applyAlignment="1">
      <alignment horizontal="center" vertical="center" wrapText="1"/>
    </xf>
    <xf numFmtId="300" fontId="4" fillId="6" borderId="1" xfId="0" applyFont="1" applyFill="1" applyBorder="1" applyAlignment="1">
      <alignment horizontal="center" vertical="center" wrapText="1"/>
    </xf>
    <xf numFmtId="300" fontId="4" fillId="7" borderId="1" xfId="0" applyFont="1" applyFill="1" applyBorder="1" applyAlignment="1">
      <alignment horizontal="center" vertical="center" wrapText="1"/>
    </xf>
    <xf numFmtId="300" fontId="4" fillId="8" borderId="1" xfId="0" applyFont="1" applyFill="1" applyBorder="1" applyAlignment="1">
      <alignment horizontal="center" vertical="center" wrapText="1"/>
    </xf>
    <xf numFmtId="300" fontId="7" fillId="0" borderId="2" xfId="0" applyFont="1"/>
    <xf numFmtId="300" fontId="8" fillId="9" borderId="1" xfId="0" applyFont="1" applyFill="1" applyBorder="1" applyAlignment="1">
      <alignment horizontal="center" vertical="center" wrapText="1"/>
    </xf>
    <xf numFmtId="300" fontId="9" fillId="5" borderId="1" xfId="0" applyFont="1" applyFill="1" applyBorder="1" applyAlignment="1">
      <alignment horizontal="center" vertical="center" wrapText="1"/>
    </xf>
    <xf numFmtId="300" fontId="10" fillId="4" borderId="1" xfId="0" applyFont="1" applyFill="1" applyBorder="1" applyAlignment="1">
      <alignment horizontal="center" vertical="center" wrapText="1"/>
    </xf>
    <xf numFmtId="300" fontId="11" fillId="6" borderId="1" xfId="0" applyFont="1" applyFill="1" applyBorder="1" applyAlignment="1">
      <alignment horizontal="center" vertical="center" wrapText="1"/>
    </xf>
    <xf numFmtId="300" fontId="6" fillId="3" borderId="1" xfId="0" applyFont="1" applyFill="1" applyBorder="1" applyAlignment="1">
      <alignment horizontal="center" vertical="center" wrapText="1"/>
    </xf>
    <xf numFmtId="300" fontId="6" fillId="4" borderId="1" xfId="0" applyFont="1" applyFill="1" applyBorder="1" applyAlignment="1">
      <alignment horizontal="center" vertical="center" wrapText="1"/>
    </xf>
    <xf numFmtId="300" fontId="6" fillId="5" borderId="1" xfId="0" applyFont="1" applyFill="1" applyBorder="1" applyAlignment="1">
      <alignment horizontal="center" vertical="center" wrapText="1"/>
    </xf>
    <xf numFmtId="300" fontId="6" fillId="6" borderId="1" xfId="0" applyFont="1" applyFill="1" applyBorder="1" applyAlignment="1">
      <alignment horizontal="center" vertical="center" wrapText="1"/>
    </xf>
    <xf numFmtId="300" fontId="6" fillId="7" borderId="1" xfId="0" applyFont="1" applyFill="1" applyBorder="1" applyAlignment="1">
      <alignment horizontal="center" vertical="center" wrapText="1"/>
    </xf>
    <xf numFmtId="300" fontId="6" fillId="8" borderId="1" xfId="0" applyFont="1" applyFill="1" applyBorder="1" applyAlignment="1">
      <alignment horizontal="center" vertical="center" wrapText="1"/>
    </xf>
    <xf numFmtId="300" fontId="5" fillId="2" borderId="1" xfId="0" applyFont="1" applyFill="1" applyBorder="1" applyAlignment="1">
      <alignment horizontal="left" vertical="center" wrapText="1"/>
    </xf>
    <xf fontId="12" fillId="10" borderId="0" xfId="0"/>
    <xf fontId="13" fillId="11" borderId="0" xfId="0"/>
    <xf fontId="14" fillId="12" borderId="0" xfId="0"/>
    <xf fontId="15" fillId="13" borderId="0" xfId="0"/>
    <xf numFmtId="300" fontId="4" fillId="14" borderId="1" xfId="0" applyFont="1" applyFill="1" applyBorder="1" applyAlignment="1">
      <alignment horizontal="center" vertical="center" wrapText="1"/>
    </xf>
    <xf numFmtId="300" fontId="4" fillId="15" borderId="1" xfId="0" applyFont="1" applyFill="1" applyBorder="1" applyAlignment="1">
      <alignment horizontal="center" vertical="center" wrapText="1"/>
    </xf>
    <xf numFmtId="300" fontId="4" fillId="16" borderId="1" xfId="0" applyFont="1" applyFill="1" applyBorder="1" applyAlignment="1">
      <alignment horizontal="center" vertical="center" wrapText="1"/>
    </xf>
    <xf numFmtId="300" fontId="4" fillId="17" borderId="1" xfId="0" applyFont="1" applyFill="1" applyBorder="1" applyAlignment="1">
      <alignment horizontal="center" vertical="center" wrapText="1"/>
    </xf>
    <xf fontId="0" fillId="18" borderId="0" xfId="0"/>
    <xf fontId="0" fillId="19" borderId="0" xfId="0"/>
    <xf fontId="0" fillId="20" borderId="0" xfId="0"/>
    <xf fontId="0" fillId="21" borderId="0" xfId="0"/>
    <xf numFmtId="300" fontId="6" fillId="22" borderId="1" xfId="0" applyFont="1" applyFill="1" applyBorder="1" applyAlignment="1">
      <alignment horizontal="center" vertical="center" wrapText="1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name val="微软雅黑"/>
        <charset val="1"/>
        <family val="0"/>
        <b val="1"/>
        <color rgb="FF6B7280"/>
        <sz val="10"/>
        <scheme val="none"/>
      </font>
      <fill>
        <patternFill patternType="solid">
          <bgColor rgb="FFF3F4F6"/>
        </patternFill>
      </fill>
    </dxf>
    <dxf>
      <font>
        <name val="微软雅黑"/>
        <charset val="1"/>
        <family val="0"/>
        <b val="1"/>
        <color rgb="FFB45309"/>
        <sz val="10"/>
        <scheme val="none"/>
      </font>
      <fill>
        <patternFill patternType="solid">
          <bgColor rgb="FFFEF3C7"/>
        </patternFill>
      </fill>
    </dxf>
    <dxf>
      <font>
        <name val="微软雅黑"/>
        <charset val="1"/>
        <family val="0"/>
        <b val="1"/>
        <color rgb="FF1D4ED8"/>
        <sz val="10"/>
        <scheme val="none"/>
      </font>
      <fill>
        <patternFill patternType="solid">
          <bgColor rgb="FFDBEAFE"/>
        </patternFill>
      </fill>
    </dxf>
    <dxf>
      <font>
        <name val="微软雅黑"/>
        <charset val="1"/>
        <family val="0"/>
        <b val="1"/>
        <color rgb="FF047857"/>
        <sz val="10"/>
        <scheme val="none"/>
      </font>
      <fill>
        <patternFill patternType="solid">
          <bgColor rgb="FFD1FAE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6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8"/>
  <sheetViews>
    <sheetView showGridLines="1" workbookViewId="0"/>
  </sheetViews>
  <sheetFormatPr defaultColWidth="7.69167" defaultRowHeight="18.5"/>
  <cols>
    <col min="1" max="1" width="100.083" customWidth="1"/>
  </cols>
  <sheetData>
    <row r="1" spans="1:1">
      <c r="A1" s="4" t="s">
        <v>1</v>
      </c>
    </row>
    <row r="2" spans="1:1">
      <c r="A2" s="5" t="s"/>
    </row>
    <row r="3" spans="1:1">
      <c r="A3" s="5" t="s">
        <v>2</v>
      </c>
    </row>
    <row r="4" spans="1:1">
      <c r="A4" s="5" t="s"/>
    </row>
    <row r="5" spans="1:1">
      <c r="A5" s="4" t="s">
        <v>3</v>
      </c>
    </row>
    <row r="6" spans="1:1">
      <c r="A6" s="5" t="s">
        <v>4</v>
      </c>
    </row>
    <row r="7" spans="1:1">
      <c r="A7" s="5" t="s">
        <v>5</v>
      </c>
    </row>
    <row r="8" spans="1:1">
      <c r="A8" s="5" t="s">
        <v>6</v>
      </c>
    </row>
    <row r="9" spans="1:1">
      <c r="A9" s="5" t="s">
        <v>7</v>
      </c>
    </row>
    <row r="10" spans="1:1">
      <c r="A10" s="5" t="s">
        <v>8</v>
      </c>
    </row>
    <row r="11" spans="1:1">
      <c r="A11" s="5" t="s"/>
    </row>
    <row r="12" spans="1:1">
      <c r="A12" s="4" t="s">
        <v>9</v>
      </c>
    </row>
    <row r="13" spans="1:1">
      <c r="A13" s="5" t="s">
        <v>10</v>
      </c>
    </row>
    <row r="14" spans="1:1">
      <c r="A14" s="5" t="s"/>
    </row>
    <row r="15" spans="1:1">
      <c r="A15" s="4" t="s">
        <v>11</v>
      </c>
    </row>
    <row r="16" spans="1:1">
      <c r="A16" s="5" t="s">
        <v>12</v>
      </c>
    </row>
    <row r="17" spans="1:1">
      <c r="A17" s="5" t="s">
        <v>13</v>
      </c>
    </row>
    <row r="18" spans="1:1">
      <c r="A18" s="5" t="s">
        <v>14</v>
      </c>
    </row>
  </sheetData>
  <pageMargins left="0.75" right="0.75" top="1" bottom="1" header="0.511811" footer="0.511811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>
  <sheetPr/>
  <dimension ref="E500"/>
  <sheetViews>
    <sheetView showGridLines="1" tabSelected="1" workbookViewId="0">
      <pane ySplit="1" topLeftCell="A2" activePane="bottomLeft" state="frozen"/>
    </sheetView>
  </sheetViews>
  <sheetFormatPr defaultColWidth="7.69167" defaultRowHeight="18.5" outlineLevelCol="4"/>
  <cols>
    <col min="1" max="1" width="12.7417" customWidth="1"/>
    <col min="2" max="2" width="7.28333" customWidth="1"/>
    <col min="3" max="3" width="40.0333" customWidth="1"/>
    <col min="4" max="4" width="10.0083" customWidth="1"/>
    <col min="5" max="5" width="27.3" customWidth="1"/>
  </cols>
  <sheetData>
    <row r="1" spans="1:5" ht="24" customHeight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</row>
    <row r="2" spans="1:5" ht="25.5" customHeight="1">
      <c r="A2" s="32" t="s">
        <v>20</v>
      </c>
      <c r="B2" s="8" t="s">
        <v>21</v>
      </c>
      <c r="C2" s="9" t="s">
        <v>22</v>
      </c>
      <c r="D2" s="10" t="s">
        <v>23</v>
      </c>
      <c r="E2" s="9" t="s">
        <v>138</v>
      </c>
    </row>
    <row r="3" spans="1:5" ht="25.5" customHeight="1">
      <c r="A3" s="32" t="s">
        <v>20</v>
      </c>
      <c r="B3" s="8" t="s">
        <v>25</v>
      </c>
      <c r="C3" s="9" t="s">
        <v>26</v>
      </c>
      <c r="D3" s="10" t="s">
        <v>23</v>
      </c>
      <c r="E3" s="9" t="s">
        <v>27</v>
      </c>
    </row>
    <row r="4" spans="1:5" ht="25.5" customHeight="1">
      <c r="A4" s="32" t="s">
        <v>20</v>
      </c>
      <c r="B4" s="8" t="s">
        <v>28</v>
      </c>
      <c r="C4" s="9" t="s">
        <v>29</v>
      </c>
      <c r="D4" s="10" t="s">
        <v>23</v>
      </c>
      <c r="E4" s="9" t="s">
        <v>30</v>
      </c>
    </row>
    <row r="5" spans="1:5" ht="25.5" customHeight="1">
      <c r="A5" s="32" t="s">
        <v>20</v>
      </c>
      <c r="B5" s="8" t="s">
        <v>31</v>
      </c>
      <c r="C5" s="9" t="s">
        <v>32</v>
      </c>
      <c r="D5" s="10" t="s">
        <v>23</v>
      </c>
      <c r="E5" s="9" t="s">
        <v>33</v>
      </c>
    </row>
    <row r="6" spans="1:5" ht="25.5" customHeight="1">
      <c r="A6" s="32" t="s">
        <v>20</v>
      </c>
      <c r="B6" s="8" t="s">
        <v>34</v>
      </c>
      <c r="C6" s="9" t="s">
        <v>35</v>
      </c>
      <c r="D6" s="10" t="s">
        <v>23</v>
      </c>
      <c r="E6" s="9" t="s">
        <v>36</v>
      </c>
    </row>
    <row r="7" spans="1:5" ht="25.5" customHeight="1">
      <c r="A7" s="32" t="s">
        <v>20</v>
      </c>
      <c r="B7" s="8" t="s">
        <v>38</v>
      </c>
      <c r="C7" s="9" t="s">
        <v>139</v>
      </c>
      <c r="D7" s="10" t="s">
        <v>23</v>
      </c>
      <c r="E7" s="9" t="s">
        <v>140</v>
      </c>
    </row>
    <row r="8" spans="1:5" ht="25.5" customHeight="1">
      <c r="A8" s="33" t="s">
        <v>37</v>
      </c>
      <c r="B8" s="8" t="s">
        <v>41</v>
      </c>
      <c r="C8" s="9" t="s">
        <v>39</v>
      </c>
      <c r="D8" s="10" t="s">
        <v>23</v>
      </c>
      <c r="E8" s="9" t="s">
        <v>40</v>
      </c>
    </row>
    <row r="9" spans="1:5" ht="25.5" customHeight="1">
      <c r="A9" s="33" t="s">
        <v>37</v>
      </c>
      <c r="B9" s="8" t="s">
        <v>44</v>
      </c>
      <c r="C9" s="9" t="s">
        <v>42</v>
      </c>
      <c r="D9" s="10" t="s">
        <v>23</v>
      </c>
      <c r="E9" s="9" t="s">
        <v>141</v>
      </c>
    </row>
    <row r="10" spans="1:5" ht="25.5" customHeight="1">
      <c r="A10" s="33" t="s">
        <v>37</v>
      </c>
      <c r="B10" s="8" t="s">
        <v>47</v>
      </c>
      <c r="C10" s="9" t="s">
        <v>45</v>
      </c>
      <c r="D10" s="10" t="s">
        <v>23</v>
      </c>
      <c r="E10" s="9" t="s">
        <v>142</v>
      </c>
    </row>
    <row r="11" spans="1:5" ht="25.5" customHeight="1">
      <c r="A11" s="33" t="s">
        <v>37</v>
      </c>
      <c r="B11" s="8" t="s">
        <v>50</v>
      </c>
      <c r="C11" s="9" t="s">
        <v>143</v>
      </c>
      <c r="D11" s="10" t="s">
        <v>23</v>
      </c>
      <c r="E11" s="9" t="s">
        <v>144</v>
      </c>
    </row>
    <row r="12" spans="1:5" ht="25.5" customHeight="1">
      <c r="A12" s="33" t="s">
        <v>37</v>
      </c>
      <c r="B12" s="8" t="s">
        <v>54</v>
      </c>
      <c r="C12" s="9" t="s">
        <v>51</v>
      </c>
      <c r="D12" s="10" t="s">
        <v>23</v>
      </c>
      <c r="E12" s="9" t="s">
        <v>145</v>
      </c>
    </row>
    <row r="13" spans="1:5" ht="25.5" customHeight="1">
      <c r="A13" s="33" t="s">
        <v>37</v>
      </c>
      <c r="B13" s="8" t="s">
        <v>57</v>
      </c>
      <c r="C13" s="9" t="s">
        <v>146</v>
      </c>
      <c r="D13" s="10" t="s">
        <v>23</v>
      </c>
      <c r="E13" s="9" t="s">
        <v>147</v>
      </c>
    </row>
    <row r="14" spans="1:5" ht="25.5" customHeight="1">
      <c r="A14" s="33" t="s">
        <v>37</v>
      </c>
      <c r="B14" s="8" t="s">
        <v>60</v>
      </c>
      <c r="C14" s="9" t="s">
        <v>148</v>
      </c>
      <c r="D14" s="10" t="s">
        <v>99</v>
      </c>
      <c r="E14" s="9" t="s">
        <v>149</v>
      </c>
    </row>
    <row r="15" spans="1:5" ht="25.5" customHeight="1">
      <c r="A15" s="33" t="s">
        <v>37</v>
      </c>
      <c r="B15" s="8" t="s">
        <v>63</v>
      </c>
      <c r="C15" s="9" t="s">
        <v>150</v>
      </c>
      <c r="D15" s="10" t="s">
        <v>23</v>
      </c>
      <c r="E15" s="9" t="s">
        <v>151</v>
      </c>
    </row>
    <row r="16" spans="1:5" ht="25.5" customHeight="1">
      <c r="A16" s="34" t="s">
        <v>53</v>
      </c>
      <c r="B16" s="8" t="s">
        <v>67</v>
      </c>
      <c r="C16" s="9" t="s">
        <v>55</v>
      </c>
      <c r="D16" s="10" t="s">
        <v>23</v>
      </c>
      <c r="E16" s="9" t="s">
        <v>181</v>
      </c>
    </row>
    <row r="17" spans="1:5" ht="25.5" customHeight="1">
      <c r="A17" s="34" t="s">
        <v>53</v>
      </c>
      <c r="B17" s="8" t="s">
        <v>70</v>
      </c>
      <c r="C17" s="9" t="s">
        <v>166</v>
      </c>
      <c r="D17" s="10" t="s">
        <v>23</v>
      </c>
      <c r="E17" s="9" t="s">
        <v>182</v>
      </c>
    </row>
    <row r="18" spans="1:5" ht="25.5" customHeight="1">
      <c r="A18" s="34" t="s">
        <v>53</v>
      </c>
      <c r="B18" s="8" t="s">
        <v>73</v>
      </c>
      <c r="C18" s="9" t="s">
        <v>58</v>
      </c>
      <c r="D18" s="10" t="s">
        <v>23</v>
      </c>
      <c r="E18" s="9" t="s">
        <v>59</v>
      </c>
    </row>
    <row r="19" spans="1:5" ht="25.5" customHeight="1">
      <c r="A19" s="34" t="s">
        <v>53</v>
      </c>
      <c r="B19" s="8" t="s">
        <v>76</v>
      </c>
      <c r="C19" s="9" t="s">
        <v>167</v>
      </c>
      <c r="D19" s="10" t="s">
        <v>95</v>
      </c>
      <c r="E19" s="9" t="s">
        <v>183</v>
      </c>
    </row>
    <row r="20" spans="1:5" ht="25.5" customHeight="1">
      <c r="A20" s="34" t="s">
        <v>53</v>
      </c>
      <c r="B20" s="8" t="s">
        <v>79</v>
      </c>
      <c r="C20" s="9" t="s">
        <v>61</v>
      </c>
      <c r="D20" s="10" t="s">
        <v>23</v>
      </c>
      <c r="E20" s="9" t="s">
        <v>184</v>
      </c>
    </row>
    <row r="21" spans="1:5" ht="25.5" customHeight="1">
      <c r="A21" s="34" t="s">
        <v>53</v>
      </c>
      <c r="B21" s="8" t="s">
        <v>83</v>
      </c>
      <c r="C21" s="9" t="s">
        <v>168</v>
      </c>
      <c r="D21" s="10" t="s">
        <v>95</v>
      </c>
      <c r="E21" s="9" t="s">
        <v>185</v>
      </c>
    </row>
    <row r="22" spans="1:5" ht="25.5" customHeight="1">
      <c r="A22" s="34" t="s">
        <v>53</v>
      </c>
      <c r="B22" s="8" t="s">
        <v>86</v>
      </c>
      <c r="C22" s="9" t="s">
        <v>169</v>
      </c>
      <c r="D22" s="10" t="s">
        <v>95</v>
      </c>
      <c r="E22" s="9" t="s">
        <v>186</v>
      </c>
    </row>
    <row r="23" spans="1:5" ht="25.5" customHeight="1">
      <c r="A23" s="34" t="s">
        <v>53</v>
      </c>
      <c r="B23" s="8" t="s">
        <v>89</v>
      </c>
      <c r="C23" s="9" t="s">
        <v>170</v>
      </c>
      <c r="D23" s="10" t="s">
        <v>95</v>
      </c>
      <c r="E23" s="9" t="s">
        <v>187</v>
      </c>
    </row>
    <row r="24" spans="1:5" ht="25.5" customHeight="1">
      <c r="A24" s="34" t="s">
        <v>53</v>
      </c>
      <c r="B24" s="8" t="s">
        <v>93</v>
      </c>
      <c r="C24" s="9" t="s">
        <v>171</v>
      </c>
      <c r="D24" s="10" t="s">
        <v>99</v>
      </c>
      <c r="E24" s="9" t="s">
        <v>188</v>
      </c>
    </row>
    <row r="25" spans="1:5" ht="25.5" customHeight="1">
      <c r="A25" s="34" t="s">
        <v>53</v>
      </c>
      <c r="B25" s="8" t="s">
        <v>97</v>
      </c>
      <c r="C25" s="9" t="s">
        <v>64</v>
      </c>
      <c r="D25" s="10" t="s">
        <v>23</v>
      </c>
      <c r="E25" s="9" t="s">
        <v>189</v>
      </c>
    </row>
    <row r="26" spans="1:5" ht="25.5" customHeight="1">
      <c r="A26" s="34" t="s">
        <v>53</v>
      </c>
      <c r="B26" s="8" t="s">
        <v>101</v>
      </c>
      <c r="C26" s="9" t="s">
        <v>172</v>
      </c>
      <c r="D26" s="10" t="s">
        <v>23</v>
      </c>
      <c r="E26" s="9" t="s">
        <v>190</v>
      </c>
    </row>
    <row r="27" spans="1:5" ht="25.5" customHeight="1">
      <c r="A27" s="35" t="s">
        <v>66</v>
      </c>
      <c r="B27" s="8" t="s">
        <v>104</v>
      </c>
      <c r="C27" s="9" t="s">
        <v>68</v>
      </c>
      <c r="D27" s="10" t="s">
        <v>23</v>
      </c>
      <c r="E27" s="9" t="s">
        <v>191</v>
      </c>
    </row>
    <row r="28" spans="1:5">
      <c r="A28" s="36" t="s">
        <v>66</v>
      </c>
      <c r="B28" t="s">
        <v>155</v>
      </c>
      <c r="C28" t="s">
        <v>173</v>
      </c>
      <c r="D28" t="s">
        <v>95</v>
      </c>
      <c r="E28" t="s">
        <v>192</v>
      </c>
    </row>
    <row r="29" spans="1:5">
      <c r="A29" s="36" t="s">
        <v>66</v>
      </c>
      <c r="B29" t="s">
        <v>156</v>
      </c>
      <c r="C29" t="s">
        <v>71</v>
      </c>
      <c r="D29" t="s">
        <v>23</v>
      </c>
      <c r="E29" t="s">
        <v>72</v>
      </c>
    </row>
    <row r="30" spans="1:5">
      <c r="A30" s="36" t="s">
        <v>66</v>
      </c>
      <c r="B30" t="s">
        <v>157</v>
      </c>
      <c r="C30" t="s">
        <v>74</v>
      </c>
      <c r="D30" t="s">
        <v>23</v>
      </c>
      <c r="E30" t="s">
        <v>75</v>
      </c>
    </row>
    <row r="31" spans="1:5">
      <c r="A31" s="36" t="s">
        <v>66</v>
      </c>
      <c r="B31" t="s">
        <v>158</v>
      </c>
      <c r="C31" t="s">
        <v>174</v>
      </c>
      <c r="D31" t="s">
        <v>23</v>
      </c>
      <c r="E31" t="s">
        <v>193</v>
      </c>
    </row>
    <row r="32" spans="1:5">
      <c r="A32" s="36" t="s">
        <v>66</v>
      </c>
      <c r="B32" t="s">
        <v>159</v>
      </c>
      <c r="C32" t="s">
        <v>77</v>
      </c>
      <c r="D32" t="s">
        <v>23</v>
      </c>
      <c r="E32" t="s">
        <v>78</v>
      </c>
    </row>
    <row r="33" spans="1:5">
      <c r="A33" s="36" t="s">
        <v>66</v>
      </c>
      <c r="B33" t="s">
        <v>160</v>
      </c>
      <c r="C33" t="s">
        <v>175</v>
      </c>
      <c r="D33" t="s">
        <v>23</v>
      </c>
      <c r="E33" t="s">
        <v>81</v>
      </c>
    </row>
    <row r="34" spans="1:5">
      <c r="A34" s="36" t="s">
        <v>66</v>
      </c>
      <c r="B34" t="s">
        <v>161</v>
      </c>
      <c r="C34" t="s">
        <v>176</v>
      </c>
      <c r="D34" t="s">
        <v>95</v>
      </c>
      <c r="E34" t="s">
        <v>194</v>
      </c>
    </row>
    <row r="35" spans="1:5">
      <c r="A35" s="36" t="s">
        <v>66</v>
      </c>
      <c r="B35" t="s">
        <v>162</v>
      </c>
      <c r="C35" t="s">
        <v>177</v>
      </c>
      <c r="D35" t="s">
        <v>95</v>
      </c>
      <c r="E35" t="s">
        <v>195</v>
      </c>
    </row>
    <row r="36" spans="1:5">
      <c r="A36" s="36" t="s">
        <v>66</v>
      </c>
      <c r="B36" t="s">
        <v>163</v>
      </c>
      <c r="C36" t="s">
        <v>178</v>
      </c>
      <c r="D36" t="s">
        <v>95</v>
      </c>
      <c r="E36" t="s">
        <v>196</v>
      </c>
    </row>
    <row r="37" spans="1:5">
      <c r="A37" s="36" t="s">
        <v>66</v>
      </c>
      <c r="B37" t="s">
        <v>164</v>
      </c>
      <c r="C37" t="s">
        <v>179</v>
      </c>
      <c r="D37" t="s">
        <v>23</v>
      </c>
      <c r="E37" t="s">
        <v>197</v>
      </c>
    </row>
    <row r="38" spans="1:5">
      <c r="A38" s="36" t="s">
        <v>66</v>
      </c>
      <c r="B38" t="s">
        <v>165</v>
      </c>
      <c r="C38" t="s">
        <v>180</v>
      </c>
      <c r="D38" t="s">
        <v>99</v>
      </c>
      <c r="E38" t="s">
        <v>198</v>
      </c>
    </row>
    <row r="39" spans="1:5">
      <c r="A39" s="37" t="s">
        <v>82</v>
      </c>
      <c r="B39" t="s">
        <v>204</v>
      </c>
      <c r="C39" t="s">
        <v>84</v>
      </c>
      <c r="D39" t="s">
        <v>23</v>
      </c>
      <c r="E39" t="s">
        <v>85</v>
      </c>
    </row>
    <row r="40" spans="1:5">
      <c r="A40" s="37" t="s">
        <v>82</v>
      </c>
      <c r="B40" t="s">
        <v>205</v>
      </c>
      <c r="C40" t="s">
        <v>87</v>
      </c>
      <c r="D40" t="s">
        <v>23</v>
      </c>
      <c r="E40" t="s">
        <v>231</v>
      </c>
    </row>
    <row r="41" spans="1:5">
      <c r="A41" s="37" t="s">
        <v>82</v>
      </c>
      <c r="B41" t="s">
        <v>206</v>
      </c>
      <c r="C41" t="s">
        <v>90</v>
      </c>
      <c r="D41" t="s">
        <v>23</v>
      </c>
      <c r="E41" t="s">
        <v>232</v>
      </c>
    </row>
    <row r="42" spans="1:5">
      <c r="A42" s="37" t="s">
        <v>82</v>
      </c>
      <c r="B42" t="s">
        <v>207</v>
      </c>
      <c r="C42" t="s">
        <v>221</v>
      </c>
      <c r="D42" t="s">
        <v>95</v>
      </c>
      <c r="E42" t="s">
        <v>233</v>
      </c>
    </row>
    <row r="43" spans="1:5">
      <c r="A43" s="37" t="s">
        <v>82</v>
      </c>
      <c r="B43" t="s">
        <v>208</v>
      </c>
      <c r="C43" t="s">
        <v>222</v>
      </c>
      <c r="D43" t="s">
        <v>95</v>
      </c>
      <c r="E43" t="s">
        <v>234</v>
      </c>
    </row>
    <row r="44" spans="1:5">
      <c r="A44" s="37" t="s">
        <v>82</v>
      </c>
      <c r="B44" t="s">
        <v>209</v>
      </c>
      <c r="C44" t="s">
        <v>223</v>
      </c>
      <c r="D44" t="s">
        <v>95</v>
      </c>
      <c r="E44" t="s">
        <v>235</v>
      </c>
    </row>
    <row r="45" spans="1:5">
      <c r="A45" s="37" t="s">
        <v>82</v>
      </c>
      <c r="B45" t="s">
        <v>210</v>
      </c>
      <c r="C45" t="s">
        <v>224</v>
      </c>
      <c r="D45" t="s">
        <v>99</v>
      </c>
      <c r="E45" t="s">
        <v>236</v>
      </c>
    </row>
    <row r="46" spans="1:5">
      <c r="A46" s="37" t="s">
        <v>82</v>
      </c>
      <c r="B46" t="s">
        <v>211</v>
      </c>
      <c r="C46" t="s">
        <v>225</v>
      </c>
      <c r="D46" t="s">
        <v>99</v>
      </c>
      <c r="E46" t="s">
        <v>237</v>
      </c>
    </row>
    <row r="47" spans="1:5">
      <c r="A47" s="37" t="s">
        <v>82</v>
      </c>
      <c r="B47" t="s">
        <v>212</v>
      </c>
      <c r="C47" t="s">
        <v>226</v>
      </c>
      <c r="D47" t="s">
        <v>99</v>
      </c>
      <c r="E47" t="s">
        <v>238</v>
      </c>
    </row>
    <row r="48" spans="1:5">
      <c r="A48" s="37" t="s">
        <v>82</v>
      </c>
      <c r="B48" t="s">
        <v>213</v>
      </c>
      <c r="C48" t="s">
        <v>227</v>
      </c>
      <c r="D48" t="s">
        <v>99</v>
      </c>
      <c r="E48" t="s">
        <v>239</v>
      </c>
    </row>
    <row r="49" spans="1:5">
      <c r="A49" s="38" t="s">
        <v>92</v>
      </c>
      <c r="B49" t="s">
        <v>214</v>
      </c>
      <c r="C49" t="s">
        <v>94</v>
      </c>
      <c r="D49" t="s">
        <v>95</v>
      </c>
      <c r="E49" t="s">
        <v>240</v>
      </c>
    </row>
    <row r="50" spans="1:5">
      <c r="A50" s="38" t="s">
        <v>92</v>
      </c>
      <c r="B50" t="s">
        <v>215</v>
      </c>
      <c r="C50" t="s">
        <v>228</v>
      </c>
      <c r="D50" t="s">
        <v>106</v>
      </c>
      <c r="E50" t="s">
        <v>241</v>
      </c>
    </row>
    <row r="51" spans="1:5">
      <c r="A51" s="38" t="s">
        <v>92</v>
      </c>
      <c r="B51" t="s">
        <v>216</v>
      </c>
      <c r="C51" t="s">
        <v>229</v>
      </c>
      <c r="D51" t="s">
        <v>99</v>
      </c>
      <c r="E51" t="s">
        <v>242</v>
      </c>
    </row>
    <row r="52" spans="1:5">
      <c r="A52" s="38" t="s">
        <v>92</v>
      </c>
      <c r="B52" t="s">
        <v>217</v>
      </c>
      <c r="C52" t="s">
        <v>230</v>
      </c>
      <c r="D52" t="s">
        <v>99</v>
      </c>
      <c r="E52" t="s">
        <v>243</v>
      </c>
    </row>
    <row r="53" spans="1:5">
      <c r="A53" s="38" t="s">
        <v>92</v>
      </c>
      <c r="B53" t="s">
        <v>218</v>
      </c>
      <c r="C53" t="s">
        <v>98</v>
      </c>
      <c r="D53" t="s">
        <v>99</v>
      </c>
      <c r="E53" t="s">
        <v>100</v>
      </c>
    </row>
    <row r="54" spans="1:5">
      <c r="A54" s="38" t="s">
        <v>92</v>
      </c>
      <c r="B54" t="s">
        <v>219</v>
      </c>
      <c r="C54" t="s">
        <v>102</v>
      </c>
      <c r="D54" t="s">
        <v>99</v>
      </c>
      <c r="E54" t="s">
        <v>244</v>
      </c>
    </row>
    <row r="55" spans="1:5">
      <c r="A55" s="38" t="s">
        <v>92</v>
      </c>
      <c r="B55" t="s">
        <v>220</v>
      </c>
      <c r="C55" t="s">
        <v>105</v>
      </c>
      <c r="D55" t="s">
        <v>106</v>
      </c>
      <c r="E55" t="s">
        <v>245</v>
      </c>
    </row>
    <row r="56" spans="1:1">
      <c r="A56" s="39" t="s"/>
    </row>
    <row r="57" spans="1:1">
      <c r="A57" s="39" t="s"/>
    </row>
    <row r="58" spans="1:1">
      <c r="A58" s="39" t="s"/>
    </row>
    <row r="59" spans="1:1">
      <c r="A59" s="39" t="s"/>
    </row>
    <row r="60" spans="1:1">
      <c r="A60" s="39" t="s"/>
    </row>
    <row r="61" spans="1:1">
      <c r="A61" s="39" t="s"/>
    </row>
    <row r="62" spans="1:1">
      <c r="A62" s="39" t="s"/>
    </row>
    <row r="63" spans="1:1">
      <c r="A63" s="39" t="s"/>
    </row>
    <row r="64" spans="1:1">
      <c r="A64" s="39" t="s"/>
    </row>
    <row r="65" spans="1:1">
      <c r="A65" s="39" t="s"/>
    </row>
    <row r="66" spans="1:1">
      <c r="A66" s="39" t="s"/>
    </row>
    <row r="67" spans="1:1">
      <c r="A67" s="39" t="s"/>
    </row>
    <row r="68" spans="1:1">
      <c r="A68" s="39" t="s"/>
    </row>
    <row r="69" spans="1:1">
      <c r="A69" s="39" t="s"/>
    </row>
    <row r="70" spans="1:1">
      <c r="A70" s="39" t="s"/>
    </row>
    <row r="71" spans="1:1">
      <c r="A71" s="39" t="s"/>
    </row>
    <row r="72" spans="1:1">
      <c r="A72" s="39" t="s"/>
    </row>
    <row r="73" spans="1:1">
      <c r="A73" s="39" t="s"/>
    </row>
    <row r="74" spans="1:1">
      <c r="A74" s="39" t="s"/>
    </row>
    <row r="75" spans="1:1">
      <c r="A75" s="39" t="s"/>
    </row>
    <row r="76" spans="1:1">
      <c r="A76" s="39" t="s"/>
    </row>
    <row r="77" spans="1:1">
      <c r="A77" s="39" t="s"/>
    </row>
    <row r="78" spans="1:1">
      <c r="A78" s="39" t="s"/>
    </row>
    <row r="79" spans="1:1">
      <c r="A79" s="39" t="s"/>
    </row>
    <row r="80" spans="1:1">
      <c r="A80" s="39" t="s"/>
    </row>
    <row r="81" spans="1:1">
      <c r="A81" s="39" t="s"/>
    </row>
    <row r="82" spans="1:1">
      <c r="A82" s="39" t="s"/>
    </row>
    <row r="83" spans="1:1">
      <c r="A83" s="39" t="s"/>
    </row>
    <row r="84" spans="1:1">
      <c r="A84" s="39" t="s"/>
    </row>
    <row r="85" spans="1:1">
      <c r="A85" s="39" t="s"/>
    </row>
    <row r="86" spans="1:1">
      <c r="A86" s="39" t="s"/>
    </row>
    <row r="87" spans="1:1">
      <c r="A87" s="39" t="s"/>
    </row>
    <row r="88" spans="1:1">
      <c r="A88" s="39" t="s"/>
    </row>
    <row r="89" spans="1:1">
      <c r="A89" s="39" t="s"/>
    </row>
    <row r="90" spans="1:1">
      <c r="A90" s="39" t="s"/>
    </row>
    <row r="91" spans="1:1">
      <c r="A91" s="39" t="s"/>
    </row>
    <row r="92" spans="1:1">
      <c r="A92" s="39" t="s"/>
    </row>
    <row r="93" spans="1:1">
      <c r="A93" s="39" t="s"/>
    </row>
    <row r="94" spans="1:1">
      <c r="A94" s="39" t="s"/>
    </row>
    <row r="95" spans="1:1">
      <c r="A95" s="39" t="s"/>
    </row>
    <row r="96" spans="1:1">
      <c r="A96" s="39" t="s"/>
    </row>
    <row r="97" spans="1:1">
      <c r="A97" s="39" t="s"/>
    </row>
    <row r="98" spans="1:1">
      <c r="A98" s="39" t="s"/>
    </row>
    <row r="99" spans="1:1">
      <c r="A99" s="39" t="s"/>
    </row>
    <row r="100" spans="1:1">
      <c r="A100" s="39" t="s"/>
    </row>
    <row r="101" spans="1:1">
      <c r="A101" s="39" t="s"/>
    </row>
    <row r="102" spans="1:1">
      <c r="A102" s="39" t="s"/>
    </row>
    <row r="103" spans="1:1">
      <c r="A103" s="39" t="s"/>
    </row>
    <row r="104" spans="1:1">
      <c r="A104" s="39" t="s"/>
    </row>
    <row r="105" spans="1:1">
      <c r="A105" s="39" t="s"/>
    </row>
    <row r="106" spans="1:1">
      <c r="A106" s="39" t="s"/>
    </row>
    <row r="107" spans="1:1">
      <c r="A107" s="39" t="s"/>
    </row>
    <row r="108" spans="1:1">
      <c r="A108" s="39" t="s"/>
    </row>
    <row r="109" spans="1:1">
      <c r="A109" s="39" t="s"/>
    </row>
    <row r="110" spans="1:1">
      <c r="A110" s="39" t="s"/>
    </row>
    <row r="111" spans="1:1">
      <c r="A111" s="39" t="s"/>
    </row>
    <row r="112" spans="1:1">
      <c r="A112" s="39" t="s"/>
    </row>
    <row r="113" spans="1:1">
      <c r="A113" s="39" t="s"/>
    </row>
    <row r="114" spans="1:1">
      <c r="A114" s="39" t="s"/>
    </row>
    <row r="115" spans="1:1">
      <c r="A115" s="39" t="s"/>
    </row>
    <row r="116" spans="1:1">
      <c r="A116" s="39" t="s"/>
    </row>
    <row r="117" spans="1:1">
      <c r="A117" s="39" t="s"/>
    </row>
    <row r="118" spans="1:1">
      <c r="A118" s="39" t="s"/>
    </row>
    <row r="119" spans="1:1">
      <c r="A119" s="39" t="s"/>
    </row>
    <row r="120" spans="1:1">
      <c r="A120" s="39" t="s"/>
    </row>
    <row r="121" spans="1:1">
      <c r="A121" s="39" t="s"/>
    </row>
    <row r="122" spans="1:1">
      <c r="A122" s="39" t="s"/>
    </row>
    <row r="123" spans="1:1">
      <c r="A123" s="39" t="s"/>
    </row>
    <row r="124" spans="1:1">
      <c r="A124" s="39" t="s"/>
    </row>
    <row r="125" spans="1:1">
      <c r="A125" s="39" t="s"/>
    </row>
    <row r="126" spans="1:1">
      <c r="A126" s="39" t="s"/>
    </row>
    <row r="127" spans="1:1">
      <c r="A127" s="39" t="s"/>
    </row>
    <row r="128" spans="1:1">
      <c r="A128" s="39" t="s"/>
    </row>
    <row r="129" spans="1:1">
      <c r="A129" s="39" t="s"/>
    </row>
    <row r="130" spans="1:1">
      <c r="A130" s="39" t="s"/>
    </row>
    <row r="131" spans="1:1">
      <c r="A131" s="39" t="s"/>
    </row>
    <row r="132" spans="1:1">
      <c r="A132" s="39" t="s"/>
    </row>
    <row r="133" spans="1:1">
      <c r="A133" s="39" t="s"/>
    </row>
    <row r="134" spans="1:1">
      <c r="A134" s="39" t="s"/>
    </row>
    <row r="135" spans="1:1">
      <c r="A135" s="39" t="s"/>
    </row>
    <row r="136" spans="1:1">
      <c r="A136" s="39" t="s"/>
    </row>
    <row r="137" spans="1:1">
      <c r="A137" s="39" t="s"/>
    </row>
    <row r="138" spans="1:1">
      <c r="A138" s="39" t="s"/>
    </row>
    <row r="139" spans="1:1">
      <c r="A139" s="39" t="s"/>
    </row>
    <row r="140" spans="1:1">
      <c r="A140" s="39" t="s"/>
    </row>
    <row r="141" spans="1:1">
      <c r="A141" s="39" t="s"/>
    </row>
    <row r="142" spans="1:1">
      <c r="A142" s="39" t="s"/>
    </row>
    <row r="143" spans="1:1">
      <c r="A143" s="39" t="s"/>
    </row>
    <row r="144" spans="1:1">
      <c r="A144" s="39" t="s"/>
    </row>
    <row r="145" spans="1:1">
      <c r="A145" s="39" t="s"/>
    </row>
    <row r="146" spans="1:1">
      <c r="A146" s="39" t="s"/>
    </row>
    <row r="147" spans="1:1">
      <c r="A147" s="39" t="s"/>
    </row>
    <row r="148" spans="1:1">
      <c r="A148" s="39" t="s"/>
    </row>
    <row r="149" spans="1:1">
      <c r="A149" s="39" t="s"/>
    </row>
    <row r="150" spans="1:1">
      <c r="A150" s="39" t="s"/>
    </row>
    <row r="151" spans="1:1">
      <c r="A151" s="39" t="s"/>
    </row>
    <row r="152" spans="1:1">
      <c r="A152" s="39" t="s"/>
    </row>
    <row r="153" spans="1:1">
      <c r="A153" s="39" t="s"/>
    </row>
    <row r="154" spans="1:1">
      <c r="A154" s="39" t="s"/>
    </row>
    <row r="155" spans="1:1">
      <c r="A155" s="39" t="s"/>
    </row>
    <row r="156" spans="1:1">
      <c r="A156" s="39" t="s"/>
    </row>
    <row r="157" spans="1:1">
      <c r="A157" s="39" t="s"/>
    </row>
    <row r="158" spans="1:1">
      <c r="A158" s="39" t="s"/>
    </row>
    <row r="159" spans="1:1">
      <c r="A159" s="39" t="s"/>
    </row>
    <row r="160" spans="1:1">
      <c r="A160" s="39" t="s"/>
    </row>
    <row r="161" spans="1:1">
      <c r="A161" s="39" t="s"/>
    </row>
    <row r="162" spans="1:1">
      <c r="A162" s="39" t="s"/>
    </row>
    <row r="163" spans="1:1">
      <c r="A163" s="39" t="s"/>
    </row>
    <row r="164" spans="1:1">
      <c r="A164" s="39" t="s"/>
    </row>
    <row r="165" spans="1:1">
      <c r="A165" s="39" t="s"/>
    </row>
    <row r="166" spans="1:1">
      <c r="A166" s="39" t="s"/>
    </row>
    <row r="167" spans="1:1">
      <c r="A167" s="39" t="s"/>
    </row>
    <row r="168" spans="1:1">
      <c r="A168" s="39" t="s"/>
    </row>
    <row r="169" spans="1:1">
      <c r="A169" s="39" t="s"/>
    </row>
    <row r="170" spans="1:1">
      <c r="A170" s="39" t="s"/>
    </row>
    <row r="171" spans="1:1">
      <c r="A171" s="39" t="s"/>
    </row>
    <row r="172" spans="1:1">
      <c r="A172" s="39" t="s"/>
    </row>
    <row r="173" spans="1:1">
      <c r="A173" s="39" t="s"/>
    </row>
    <row r="174" spans="1:1">
      <c r="A174" s="39" t="s"/>
    </row>
    <row r="175" spans="1:1">
      <c r="A175" s="39" t="s"/>
    </row>
    <row r="176" spans="1:1">
      <c r="A176" s="39" t="s"/>
    </row>
    <row r="177" spans="1:1">
      <c r="A177" s="39" t="s"/>
    </row>
    <row r="178" spans="1:1">
      <c r="A178" s="39" t="s"/>
    </row>
    <row r="179" spans="1:1">
      <c r="A179" s="39" t="s"/>
    </row>
    <row r="180" spans="1:1">
      <c r="A180" s="39" t="s"/>
    </row>
    <row r="181" spans="1:1">
      <c r="A181" s="39" t="s"/>
    </row>
    <row r="182" spans="1:1">
      <c r="A182" s="39" t="s"/>
    </row>
    <row r="183" spans="1:1">
      <c r="A183" s="39" t="s"/>
    </row>
    <row r="184" spans="1:1">
      <c r="A184" s="39" t="s"/>
    </row>
    <row r="185" spans="1:1">
      <c r="A185" s="39" t="s"/>
    </row>
    <row r="186" spans="1:1">
      <c r="A186" s="39" t="s"/>
    </row>
    <row r="187" spans="1:1">
      <c r="A187" s="39" t="s"/>
    </row>
    <row r="188" spans="1:1">
      <c r="A188" s="39" t="s"/>
    </row>
    <row r="189" spans="1:1">
      <c r="A189" s="39" t="s"/>
    </row>
    <row r="190" spans="1:1">
      <c r="A190" s="39" t="s"/>
    </row>
    <row r="191" spans="1:1">
      <c r="A191" s="39" t="s"/>
    </row>
    <row r="192" spans="1:1">
      <c r="A192" s="39" t="s"/>
    </row>
    <row r="193" spans="1:1">
      <c r="A193" s="39" t="s"/>
    </row>
    <row r="194" spans="1:1">
      <c r="A194" s="39" t="s"/>
    </row>
    <row r="195" spans="1:1">
      <c r="A195" s="39" t="s"/>
    </row>
    <row r="196" spans="1:1">
      <c r="A196" s="39" t="s"/>
    </row>
    <row r="197" spans="1:1">
      <c r="A197" s="39" t="s"/>
    </row>
    <row r="198" spans="1:1">
      <c r="A198" s="39" t="s"/>
    </row>
    <row r="199" spans="1:1">
      <c r="A199" s="39" t="s"/>
    </row>
    <row r="200" spans="1:1">
      <c r="A200" s="39" t="s"/>
    </row>
    <row r="201" spans="1:1">
      <c r="A201" s="39" t="s"/>
    </row>
    <row r="202" spans="1:1">
      <c r="A202" s="39" t="s"/>
    </row>
    <row r="203" spans="1:1">
      <c r="A203" s="39" t="s"/>
    </row>
    <row r="204" spans="1:1">
      <c r="A204" s="39" t="s"/>
    </row>
    <row r="205" spans="1:1">
      <c r="A205" s="39" t="s"/>
    </row>
    <row r="206" spans="1:1">
      <c r="A206" s="39" t="s"/>
    </row>
    <row r="207" spans="1:1">
      <c r="A207" s="39" t="s"/>
    </row>
    <row r="208" spans="1:1">
      <c r="A208" s="39" t="s"/>
    </row>
    <row r="209" spans="1:1">
      <c r="A209" s="39" t="s"/>
    </row>
    <row r="210" spans="1:1">
      <c r="A210" s="39" t="s"/>
    </row>
    <row r="211" spans="1:1">
      <c r="A211" s="39" t="s"/>
    </row>
    <row r="212" spans="1:1">
      <c r="A212" s="39" t="s"/>
    </row>
    <row r="213" spans="1:1">
      <c r="A213" s="39" t="s"/>
    </row>
    <row r="214" spans="1:1">
      <c r="A214" s="39" t="s"/>
    </row>
    <row r="215" spans="1:1">
      <c r="A215" s="39" t="s"/>
    </row>
    <row r="216" spans="1:1">
      <c r="A216" s="39" t="s"/>
    </row>
    <row r="217" spans="1:1">
      <c r="A217" s="39" t="s"/>
    </row>
    <row r="218" spans="1:1">
      <c r="A218" s="39" t="s"/>
    </row>
    <row r="219" spans="1:1">
      <c r="A219" s="39" t="s"/>
    </row>
    <row r="220" spans="1:1">
      <c r="A220" s="39" t="s"/>
    </row>
    <row r="221" spans="1:1">
      <c r="A221" s="39" t="s"/>
    </row>
    <row r="222" spans="1:1">
      <c r="A222" s="39" t="s"/>
    </row>
    <row r="223" spans="1:1">
      <c r="A223" s="39" t="s"/>
    </row>
    <row r="224" spans="1:1">
      <c r="A224" s="39" t="s"/>
    </row>
    <row r="225" spans="1:1">
      <c r="A225" s="39" t="s"/>
    </row>
    <row r="226" spans="1:1">
      <c r="A226" s="39" t="s"/>
    </row>
    <row r="227" spans="1:1">
      <c r="A227" s="39" t="s"/>
    </row>
    <row r="228" spans="1:1">
      <c r="A228" s="39" t="s"/>
    </row>
    <row r="229" spans="1:1">
      <c r="A229" s="39" t="s"/>
    </row>
    <row r="230" spans="1:1">
      <c r="A230" s="39" t="s"/>
    </row>
    <row r="231" spans="1:1">
      <c r="A231" s="39" t="s"/>
    </row>
    <row r="232" spans="1:1">
      <c r="A232" s="39" t="s"/>
    </row>
    <row r="233" spans="1:1">
      <c r="A233" s="39" t="s"/>
    </row>
    <row r="234" spans="1:1">
      <c r="A234" s="39" t="s"/>
    </row>
    <row r="235" spans="1:1">
      <c r="A235" s="39" t="s"/>
    </row>
    <row r="236" spans="1:1">
      <c r="A236" s="39" t="s"/>
    </row>
    <row r="237" spans="1:1">
      <c r="A237" s="39" t="s"/>
    </row>
    <row r="238" spans="1:1">
      <c r="A238" s="39" t="s"/>
    </row>
    <row r="239" spans="1:1">
      <c r="A239" s="39" t="s"/>
    </row>
    <row r="240" spans="1:1">
      <c r="A240" s="39" t="s"/>
    </row>
    <row r="241" spans="1:1">
      <c r="A241" s="39" t="s"/>
    </row>
    <row r="242" spans="1:1">
      <c r="A242" s="39" t="s"/>
    </row>
    <row r="243" spans="1:1">
      <c r="A243" s="39" t="s"/>
    </row>
    <row r="244" spans="1:1">
      <c r="A244" s="39" t="s"/>
    </row>
    <row r="245" spans="1:1">
      <c r="A245" s="39" t="s"/>
    </row>
    <row r="246" spans="1:1">
      <c r="A246" s="39" t="s"/>
    </row>
    <row r="247" spans="1:1">
      <c r="A247" s="39" t="s"/>
    </row>
    <row r="248" spans="1:1">
      <c r="A248" s="39" t="s"/>
    </row>
    <row r="249" spans="1:1">
      <c r="A249" s="39" t="s"/>
    </row>
    <row r="250" spans="1:1">
      <c r="A250" s="39" t="s"/>
    </row>
    <row r="251" spans="1:1">
      <c r="A251" s="39" t="s"/>
    </row>
    <row r="252" spans="1:1">
      <c r="A252" s="39" t="s"/>
    </row>
    <row r="253" spans="1:1">
      <c r="A253" s="39" t="s"/>
    </row>
    <row r="254" spans="1:1">
      <c r="A254" s="39" t="s"/>
    </row>
    <row r="255" spans="1:1">
      <c r="A255" s="39" t="s"/>
    </row>
    <row r="256" spans="1:1">
      <c r="A256" s="39" t="s"/>
    </row>
    <row r="257" spans="1:1">
      <c r="A257" s="39" t="s"/>
    </row>
    <row r="258" spans="1:1">
      <c r="A258" s="39" t="s"/>
    </row>
    <row r="259" spans="1:1">
      <c r="A259" s="39" t="s"/>
    </row>
    <row r="260" spans="1:1">
      <c r="A260" s="39" t="s"/>
    </row>
    <row r="261" spans="1:1">
      <c r="A261" s="39" t="s"/>
    </row>
    <row r="262" spans="1:1">
      <c r="A262" s="39" t="s"/>
    </row>
    <row r="263" spans="1:1">
      <c r="A263" s="39" t="s"/>
    </row>
    <row r="264" spans="1:1">
      <c r="A264" s="39" t="s"/>
    </row>
    <row r="265" spans="1:1">
      <c r="A265" s="39" t="s"/>
    </row>
    <row r="266" spans="1:1">
      <c r="A266" s="39" t="s"/>
    </row>
    <row r="267" spans="1:1">
      <c r="A267" s="39" t="s"/>
    </row>
    <row r="268" spans="1:1">
      <c r="A268" s="39" t="s"/>
    </row>
    <row r="269" spans="1:1">
      <c r="A269" s="39" t="s"/>
    </row>
    <row r="270" spans="1:1">
      <c r="A270" s="39" t="s"/>
    </row>
    <row r="271" spans="1:1">
      <c r="A271" s="39" t="s"/>
    </row>
    <row r="272" spans="1:1">
      <c r="A272" s="39" t="s"/>
    </row>
    <row r="273" spans="1:1">
      <c r="A273" s="39" t="s"/>
    </row>
    <row r="274" spans="1:1">
      <c r="A274" s="39" t="s"/>
    </row>
    <row r="275" spans="1:1">
      <c r="A275" s="39" t="s"/>
    </row>
    <row r="276" spans="1:1">
      <c r="A276" s="39" t="s"/>
    </row>
    <row r="277" spans="1:1">
      <c r="A277" s="39" t="s"/>
    </row>
    <row r="278" spans="1:1">
      <c r="A278" s="39" t="s"/>
    </row>
    <row r="279" spans="1:1">
      <c r="A279" s="39" t="s"/>
    </row>
    <row r="280" spans="1:1">
      <c r="A280" s="39" t="s"/>
    </row>
    <row r="281" spans="1:1">
      <c r="A281" s="39" t="s"/>
    </row>
    <row r="282" spans="1:1">
      <c r="A282" s="39" t="s"/>
    </row>
    <row r="283" spans="1:1">
      <c r="A283" s="39" t="s"/>
    </row>
    <row r="284" spans="1:1">
      <c r="A284" s="39" t="s"/>
    </row>
    <row r="285" spans="1:1">
      <c r="A285" s="39" t="s"/>
    </row>
    <row r="286" spans="1:1">
      <c r="A286" s="39" t="s"/>
    </row>
    <row r="287" spans="1:1">
      <c r="A287" s="39" t="s"/>
    </row>
    <row r="288" spans="1:1">
      <c r="A288" s="39" t="s"/>
    </row>
    <row r="289" spans="1:1">
      <c r="A289" s="39" t="s"/>
    </row>
    <row r="290" spans="1:1">
      <c r="A290" s="39" t="s"/>
    </row>
    <row r="291" spans="1:1">
      <c r="A291" s="39" t="s"/>
    </row>
    <row r="292" spans="1:1">
      <c r="A292" s="39" t="s"/>
    </row>
    <row r="293" spans="1:1">
      <c r="A293" s="39" t="s"/>
    </row>
    <row r="294" spans="1:1">
      <c r="A294" s="39" t="s"/>
    </row>
    <row r="295" spans="1:1">
      <c r="A295" s="39" t="s"/>
    </row>
    <row r="296" spans="1:1">
      <c r="A296" s="39" t="s"/>
    </row>
    <row r="297" spans="1:1">
      <c r="A297" s="39" t="s"/>
    </row>
    <row r="298" spans="1:1">
      <c r="A298" s="39" t="s"/>
    </row>
    <row r="299" spans="1:1">
      <c r="A299" s="39" t="s"/>
    </row>
    <row r="300" spans="1:1">
      <c r="A300" s="39" t="s"/>
    </row>
    <row r="301" spans="1:1">
      <c r="A301" s="39" t="s"/>
    </row>
    <row r="302" spans="1:1">
      <c r="A302" s="39" t="s"/>
    </row>
    <row r="303" spans="1:1">
      <c r="A303" s="39" t="s"/>
    </row>
    <row r="304" spans="1:1">
      <c r="A304" s="39" t="s"/>
    </row>
    <row r="305" spans="1:1">
      <c r="A305" s="39" t="s"/>
    </row>
    <row r="306" spans="1:1">
      <c r="A306" s="39" t="s"/>
    </row>
    <row r="307" spans="1:1">
      <c r="A307" s="39" t="s"/>
    </row>
    <row r="308" spans="1:1">
      <c r="A308" s="39" t="s"/>
    </row>
    <row r="309" spans="1:1">
      <c r="A309" s="39" t="s"/>
    </row>
    <row r="310" spans="1:1">
      <c r="A310" s="39" t="s"/>
    </row>
    <row r="311" spans="1:1">
      <c r="A311" s="39" t="s"/>
    </row>
    <row r="312" spans="1:1">
      <c r="A312" s="39" t="s"/>
    </row>
    <row r="313" spans="1:1">
      <c r="A313" s="39" t="s"/>
    </row>
    <row r="314" spans="1:1">
      <c r="A314" s="39" t="s"/>
    </row>
    <row r="315" spans="1:1">
      <c r="A315" s="39" t="s"/>
    </row>
    <row r="316" spans="1:1">
      <c r="A316" s="39" t="s"/>
    </row>
    <row r="317" spans="1:1">
      <c r="A317" s="39" t="s"/>
    </row>
    <row r="318" spans="1:1">
      <c r="A318" s="39" t="s"/>
    </row>
    <row r="319" spans="1:1">
      <c r="A319" s="39" t="s"/>
    </row>
    <row r="320" spans="1:1">
      <c r="A320" s="39" t="s"/>
    </row>
    <row r="321" spans="1:1">
      <c r="A321" s="39" t="s"/>
    </row>
    <row r="322" spans="1:1">
      <c r="A322" s="39" t="s"/>
    </row>
    <row r="323" spans="1:1">
      <c r="A323" s="39" t="s"/>
    </row>
    <row r="324" spans="1:1">
      <c r="A324" s="39" t="s"/>
    </row>
    <row r="325" spans="1:1">
      <c r="A325" s="39" t="s"/>
    </row>
    <row r="326" spans="1:1">
      <c r="A326" s="39" t="s"/>
    </row>
    <row r="327" spans="1:1">
      <c r="A327" s="39" t="s"/>
    </row>
    <row r="328" spans="1:1">
      <c r="A328" s="39" t="s"/>
    </row>
    <row r="329" spans="1:1">
      <c r="A329" s="39" t="s"/>
    </row>
    <row r="330" spans="1:1">
      <c r="A330" s="39" t="s"/>
    </row>
    <row r="331" spans="1:1">
      <c r="A331" s="39" t="s"/>
    </row>
    <row r="332" spans="1:1">
      <c r="A332" s="39" t="s"/>
    </row>
    <row r="333" spans="1:1">
      <c r="A333" s="39" t="s"/>
    </row>
    <row r="334" spans="1:1">
      <c r="A334" s="39" t="s"/>
    </row>
    <row r="335" spans="1:1">
      <c r="A335" s="39" t="s"/>
    </row>
    <row r="336" spans="1:1">
      <c r="A336" s="39" t="s"/>
    </row>
    <row r="337" spans="1:1">
      <c r="A337" s="39" t="s"/>
    </row>
    <row r="338" spans="1:1">
      <c r="A338" s="39" t="s"/>
    </row>
    <row r="339" spans="1:1">
      <c r="A339" s="39" t="s"/>
    </row>
    <row r="340" spans="1:1">
      <c r="A340" s="39" t="s"/>
    </row>
    <row r="341" spans="1:1">
      <c r="A341" s="39" t="s"/>
    </row>
    <row r="342" spans="1:1">
      <c r="A342" s="39" t="s"/>
    </row>
    <row r="343" spans="1:1">
      <c r="A343" s="39" t="s"/>
    </row>
    <row r="344" spans="1:1">
      <c r="A344" s="39" t="s"/>
    </row>
    <row r="345" spans="1:1">
      <c r="A345" s="39" t="s"/>
    </row>
    <row r="346" spans="1:1">
      <c r="A346" s="39" t="s"/>
    </row>
    <row r="347" spans="1:1">
      <c r="A347" s="39" t="s"/>
    </row>
    <row r="348" spans="1:1">
      <c r="A348" s="39" t="s"/>
    </row>
    <row r="349" spans="1:1">
      <c r="A349" s="39" t="s"/>
    </row>
    <row r="350" spans="1:1">
      <c r="A350" s="39" t="s"/>
    </row>
    <row r="351" spans="1:1">
      <c r="A351" s="39" t="s"/>
    </row>
    <row r="352" spans="1:1">
      <c r="A352" s="39" t="s"/>
    </row>
    <row r="353" spans="1:1">
      <c r="A353" s="39" t="s"/>
    </row>
    <row r="354" spans="1:1">
      <c r="A354" s="39" t="s"/>
    </row>
    <row r="355" spans="1:1">
      <c r="A355" s="39" t="s"/>
    </row>
    <row r="356" spans="1:1">
      <c r="A356" s="39" t="s"/>
    </row>
    <row r="357" spans="1:1">
      <c r="A357" s="39" t="s"/>
    </row>
    <row r="358" spans="1:1">
      <c r="A358" s="39" t="s"/>
    </row>
    <row r="359" spans="1:1">
      <c r="A359" s="39" t="s"/>
    </row>
    <row r="360" spans="1:1">
      <c r="A360" s="39" t="s"/>
    </row>
    <row r="361" spans="1:1">
      <c r="A361" s="39" t="s"/>
    </row>
    <row r="362" spans="1:1">
      <c r="A362" s="39" t="s"/>
    </row>
    <row r="363" spans="1:1">
      <c r="A363" s="39" t="s"/>
    </row>
    <row r="364" spans="1:1">
      <c r="A364" s="39" t="s"/>
    </row>
    <row r="365" spans="1:1">
      <c r="A365" s="39" t="s"/>
    </row>
    <row r="366" spans="1:1">
      <c r="A366" s="39" t="s"/>
    </row>
    <row r="367" spans="1:1">
      <c r="A367" s="39" t="s"/>
    </row>
    <row r="368" spans="1:1">
      <c r="A368" s="39" t="s"/>
    </row>
    <row r="369" spans="1:1">
      <c r="A369" s="39" t="s"/>
    </row>
    <row r="370" spans="1:1">
      <c r="A370" s="39" t="s"/>
    </row>
    <row r="371" spans="1:1">
      <c r="A371" s="39" t="s"/>
    </row>
    <row r="372" spans="1:1">
      <c r="A372" s="39" t="s"/>
    </row>
    <row r="373" spans="1:1">
      <c r="A373" s="39" t="s"/>
    </row>
    <row r="374" spans="1:1">
      <c r="A374" s="39" t="s"/>
    </row>
    <row r="375" spans="1:1">
      <c r="A375" s="39" t="s"/>
    </row>
    <row r="376" spans="1:1">
      <c r="A376" s="39" t="s"/>
    </row>
    <row r="377" spans="1:1">
      <c r="A377" s="39" t="s"/>
    </row>
    <row r="378" spans="1:1">
      <c r="A378" s="39" t="s"/>
    </row>
    <row r="379" spans="1:1">
      <c r="A379" s="39" t="s"/>
    </row>
    <row r="380" spans="1:1">
      <c r="A380" s="39" t="s"/>
    </row>
    <row r="381" spans="1:1">
      <c r="A381" s="39" t="s"/>
    </row>
    <row r="382" spans="1:1">
      <c r="A382" s="39" t="s"/>
    </row>
    <row r="383" spans="1:1">
      <c r="A383" s="39" t="s"/>
    </row>
    <row r="384" spans="1:1">
      <c r="A384" s="39" t="s"/>
    </row>
    <row r="385" spans="1:1">
      <c r="A385" s="39" t="s"/>
    </row>
    <row r="386" spans="1:1">
      <c r="A386" s="39" t="s"/>
    </row>
    <row r="387" spans="1:1">
      <c r="A387" s="39" t="s"/>
    </row>
    <row r="388" spans="1:1">
      <c r="A388" s="39" t="s"/>
    </row>
    <row r="389" spans="1:1">
      <c r="A389" s="39" t="s"/>
    </row>
    <row r="390" spans="1:1">
      <c r="A390" s="39" t="s"/>
    </row>
    <row r="391" spans="1:1">
      <c r="A391" s="39" t="s"/>
    </row>
    <row r="392" spans="1:1">
      <c r="A392" s="39" t="s"/>
    </row>
    <row r="393" spans="1:1">
      <c r="A393" s="39" t="s"/>
    </row>
    <row r="394" spans="1:1">
      <c r="A394" s="39" t="s"/>
    </row>
    <row r="395" spans="1:1">
      <c r="A395" s="39" t="s"/>
    </row>
    <row r="396" spans="1:1">
      <c r="A396" s="39" t="s"/>
    </row>
    <row r="397" spans="1:1">
      <c r="A397" s="39" t="s"/>
    </row>
    <row r="398" spans="1:1">
      <c r="A398" s="39" t="s"/>
    </row>
    <row r="399" spans="1:1">
      <c r="A399" s="39" t="s"/>
    </row>
    <row r="400" spans="1:1">
      <c r="A400" s="39" t="s"/>
    </row>
    <row r="401" spans="1:1">
      <c r="A401" s="39" t="s"/>
    </row>
    <row r="402" spans="1:1">
      <c r="A402" s="39" t="s"/>
    </row>
    <row r="403" spans="1:1">
      <c r="A403" s="39" t="s"/>
    </row>
    <row r="404" spans="1:1">
      <c r="A404" s="39" t="s"/>
    </row>
    <row r="405" spans="1:1">
      <c r="A405" s="39" t="s"/>
    </row>
    <row r="406" spans="1:1">
      <c r="A406" s="39" t="s"/>
    </row>
    <row r="407" spans="1:1">
      <c r="A407" s="39" t="s"/>
    </row>
    <row r="408" spans="1:1">
      <c r="A408" s="39" t="s"/>
    </row>
    <row r="409" spans="1:1">
      <c r="A409" s="39" t="s"/>
    </row>
    <row r="410" spans="1:1">
      <c r="A410" s="39" t="s"/>
    </row>
    <row r="411" spans="1:1">
      <c r="A411" s="39" t="s"/>
    </row>
    <row r="412" spans="1:1">
      <c r="A412" s="39" t="s"/>
    </row>
    <row r="413" spans="1:1">
      <c r="A413" s="39" t="s"/>
    </row>
    <row r="414" spans="1:1">
      <c r="A414" s="39" t="s"/>
    </row>
    <row r="415" spans="1:1">
      <c r="A415" s="39" t="s"/>
    </row>
    <row r="416" spans="1:1">
      <c r="A416" s="39" t="s"/>
    </row>
    <row r="417" spans="1:1">
      <c r="A417" s="39" t="s"/>
    </row>
    <row r="418" spans="1:1">
      <c r="A418" s="39" t="s"/>
    </row>
    <row r="419" spans="1:1">
      <c r="A419" s="39" t="s"/>
    </row>
    <row r="420" spans="1:1">
      <c r="A420" s="39" t="s"/>
    </row>
    <row r="421" spans="1:1">
      <c r="A421" s="39" t="s"/>
    </row>
    <row r="422" spans="1:1">
      <c r="A422" s="39" t="s"/>
    </row>
    <row r="423" spans="1:1">
      <c r="A423" s="39" t="s"/>
    </row>
    <row r="424" spans="1:1">
      <c r="A424" s="39" t="s"/>
    </row>
    <row r="425" spans="1:1">
      <c r="A425" s="39" t="s"/>
    </row>
    <row r="426" spans="1:1">
      <c r="A426" s="39" t="s"/>
    </row>
    <row r="427" spans="1:1">
      <c r="A427" s="39" t="s"/>
    </row>
    <row r="428" spans="1:1">
      <c r="A428" s="39" t="s"/>
    </row>
    <row r="429" spans="1:1">
      <c r="A429" s="39" t="s"/>
    </row>
    <row r="430" spans="1:1">
      <c r="A430" s="39" t="s"/>
    </row>
    <row r="431" spans="1:1">
      <c r="A431" s="39" t="s"/>
    </row>
    <row r="432" spans="1:1">
      <c r="A432" s="39" t="s"/>
    </row>
    <row r="433" spans="1:1">
      <c r="A433" s="39" t="s"/>
    </row>
    <row r="434" spans="1:1">
      <c r="A434" s="39" t="s"/>
    </row>
    <row r="435" spans="1:1">
      <c r="A435" s="39" t="s"/>
    </row>
    <row r="436" spans="1:1">
      <c r="A436" s="39" t="s"/>
    </row>
    <row r="437" spans="1:1">
      <c r="A437" s="39" t="s"/>
    </row>
    <row r="438" spans="1:1">
      <c r="A438" s="39" t="s"/>
    </row>
    <row r="439" spans="1:1">
      <c r="A439" s="39" t="s"/>
    </row>
    <row r="440" spans="1:1">
      <c r="A440" s="39" t="s"/>
    </row>
    <row r="441" spans="1:1">
      <c r="A441" s="39" t="s"/>
    </row>
    <row r="442" spans="1:1">
      <c r="A442" s="39" t="s"/>
    </row>
    <row r="443" spans="1:1">
      <c r="A443" s="39" t="s"/>
    </row>
    <row r="444" spans="1:1">
      <c r="A444" s="39" t="s"/>
    </row>
    <row r="445" spans="1:1">
      <c r="A445" s="39" t="s"/>
    </row>
    <row r="446" spans="1:1">
      <c r="A446" s="39" t="s"/>
    </row>
    <row r="447" spans="1:1">
      <c r="A447" s="39" t="s"/>
    </row>
    <row r="448" spans="1:1">
      <c r="A448" s="39" t="s"/>
    </row>
    <row r="449" spans="1:1">
      <c r="A449" s="39" t="s"/>
    </row>
    <row r="450" spans="1:1">
      <c r="A450" s="39" t="s"/>
    </row>
    <row r="451" spans="1:1">
      <c r="A451" s="39" t="s"/>
    </row>
    <row r="452" spans="1:1">
      <c r="A452" s="39" t="s"/>
    </row>
    <row r="453" spans="1:1">
      <c r="A453" s="39" t="s"/>
    </row>
    <row r="454" spans="1:1">
      <c r="A454" s="39" t="s"/>
    </row>
    <row r="455" spans="1:1">
      <c r="A455" s="39" t="s"/>
    </row>
    <row r="456" spans="1:1">
      <c r="A456" s="39" t="s"/>
    </row>
    <row r="457" spans="1:1">
      <c r="A457" s="39" t="s"/>
    </row>
    <row r="458" spans="1:1">
      <c r="A458" s="39" t="s"/>
    </row>
    <row r="459" spans="1:1">
      <c r="A459" s="39" t="s"/>
    </row>
    <row r="460" spans="1:1">
      <c r="A460" s="39" t="s"/>
    </row>
    <row r="461" spans="1:1">
      <c r="A461" s="39" t="s"/>
    </row>
    <row r="462" spans="1:1">
      <c r="A462" s="39" t="s"/>
    </row>
    <row r="463" spans="1:1">
      <c r="A463" s="39" t="s"/>
    </row>
    <row r="464" spans="1:1">
      <c r="A464" s="39" t="s"/>
    </row>
    <row r="465" spans="1:1">
      <c r="A465" s="39" t="s"/>
    </row>
    <row r="466" spans="1:1">
      <c r="A466" s="39" t="s"/>
    </row>
    <row r="467" spans="1:1">
      <c r="A467" s="39" t="s"/>
    </row>
    <row r="468" spans="1:1">
      <c r="A468" s="39" t="s"/>
    </row>
    <row r="469" spans="1:1">
      <c r="A469" s="39" t="s"/>
    </row>
    <row r="470" spans="1:1">
      <c r="A470" s="39" t="s"/>
    </row>
    <row r="471" spans="1:1">
      <c r="A471" s="39" t="s"/>
    </row>
    <row r="472" spans="1:1">
      <c r="A472" s="39" t="s"/>
    </row>
    <row r="473" spans="1:1">
      <c r="A473" s="39" t="s"/>
    </row>
    <row r="474" spans="1:1">
      <c r="A474" s="39" t="s"/>
    </row>
    <row r="475" spans="1:1">
      <c r="A475" s="39" t="s"/>
    </row>
    <row r="476" spans="1:1">
      <c r="A476" s="39" t="s"/>
    </row>
    <row r="477" spans="1:1">
      <c r="A477" s="39" t="s"/>
    </row>
    <row r="478" spans="1:1">
      <c r="A478" s="39" t="s"/>
    </row>
    <row r="479" spans="1:1">
      <c r="A479" s="39" t="s"/>
    </row>
    <row r="480" spans="1:1">
      <c r="A480" s="39" t="s"/>
    </row>
    <row r="481" spans="1:1">
      <c r="A481" s="39" t="s"/>
    </row>
    <row r="482" spans="1:1">
      <c r="A482" s="39" t="s"/>
    </row>
    <row r="483" spans="1:1">
      <c r="A483" s="39" t="s"/>
    </row>
    <row r="484" spans="1:1">
      <c r="A484" s="39" t="s"/>
    </row>
    <row r="485" spans="1:1">
      <c r="A485" s="39" t="s"/>
    </row>
    <row r="486" spans="1:1">
      <c r="A486" s="39" t="s"/>
    </row>
    <row r="487" spans="1:1">
      <c r="A487" s="39" t="s"/>
    </row>
    <row r="488" spans="1:1">
      <c r="A488" s="39" t="s"/>
    </row>
    <row r="489" spans="1:1">
      <c r="A489" s="39" t="s"/>
    </row>
    <row r="490" spans="1:1">
      <c r="A490" s="39" t="s"/>
    </row>
    <row r="491" spans="1:1">
      <c r="A491" s="39" t="s"/>
    </row>
    <row r="492" spans="1:1">
      <c r="A492" s="39" t="s"/>
    </row>
    <row r="493" spans="1:1">
      <c r="A493" s="39" t="s"/>
    </row>
    <row r="494" spans="1:1">
      <c r="A494" s="39" t="s"/>
    </row>
    <row r="495" spans="1:1">
      <c r="A495" s="39" t="s"/>
    </row>
    <row r="496" spans="1:1">
      <c r="A496" s="39" t="s"/>
    </row>
    <row r="497" spans="1:1">
      <c r="A497" s="39" t="s"/>
    </row>
    <row r="498" spans="1:1">
      <c r="A498" s="39" t="s"/>
    </row>
    <row r="499" spans="1:1">
      <c r="A499" s="39" t="s"/>
    </row>
    <row r="500" spans="1:1">
      <c r="A500" s="39" t="s"/>
    </row>
  </sheetData>
  <autoFilter ref="A1:E55">
    <extLst/>
  </autoFilter>
  <conditionalFormatting sqref="D2:D500">
    <cfRule type="cellIs" dxfId="0" priority="1" operator="equal">
      <formula>"未开发"</formula>
      <formula>"未开发"</formula>
    </cfRule>
  </conditionalFormatting>
  <conditionalFormatting sqref="D2:D500">
    <cfRule type="cellIs" dxfId="1" priority="2" operator="equal">
      <formula>"开发中"</formula>
      <formula>"开发中"</formula>
    </cfRule>
  </conditionalFormatting>
  <conditionalFormatting sqref="D2:D500">
    <cfRule type="cellIs" dxfId="2" priority="3" operator="equal">
      <formula>"已开发"</formula>
      <formula>"已开发"</formula>
    </cfRule>
  </conditionalFormatting>
  <conditionalFormatting sqref="D2:D500">
    <cfRule type="cellIs" dxfId="3" priority="4" operator="equal">
      <formula>"已测试"</formula>
      <formula>"已测试"</formula>
    </cfRule>
  </conditionalFormatting>
  <dataValidations>
    <dataValidation type="list" operator="between" allowBlank="1" errorTitle="无效状态" error="只能填写：未开发、开发中、已开发、已测试" promptTitle="选择状态" prompt="未开发 / 开发中 / 已开发 / 已测试" sqref="D2:D500">
      <formula1>"未开发,开发中,已开发,已测试"</formula1>
    </dataValidation>
  </dataValidations>
  <pageMargins left="0.75" right="0.75" top="1" bottom="1" header="0.511811" footer="0.511811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>
  <sheetPr/>
  <dimension ref="H17"/>
  <sheetViews>
    <sheetView showGridLines="1" workbookViewId="0"/>
  </sheetViews>
  <sheetFormatPr defaultColWidth="7.69167" defaultRowHeight="18.5" outlineLevelCol="7"/>
  <cols>
    <col min="1" max="1" width="14.5583" customWidth="1"/>
    <col min="2" max="2" width="10.9167" customWidth="1"/>
    <col min="3" max="3" width="7.28333" customWidth="1"/>
    <col min="4" max="7" width="8.19167" customWidth="1"/>
    <col min="8" max="8" width="13.65" customWidth="1"/>
  </cols>
  <sheetData>
    <row r="1" spans="1:1">
      <c r="A1" s="16" t="s">
        <v>108</v>
      </c>
    </row>
    <row r="3" spans="1:3">
      <c r="A3" s="6" t="s">
        <v>109</v>
      </c>
      <c r="B3" s="6" t="s">
        <v>110</v>
      </c>
      <c r="C3" s="6" t="s">
        <v>111</v>
      </c>
    </row>
    <row r="4" spans="1:3">
      <c r="A4" s="17" t="s">
        <v>99</v>
      </c>
      <c r="B4" s="10">
        <f>=COUNTIF(开发进度表!D:D,A4)</f>
        <v>11</v>
      </c>
      <c r="C4" s="10" t="str">
        <f>=TEXT(COUNTIF(开发进度表!D:D,A4)/MAX(1,COUNTA(开发进度表!B:B)-1),"0.0%")</f>
        <v>20.4%</v>
      </c>
    </row>
    <row r="5" spans="1:3">
      <c r="A5" s="18" t="s">
        <v>106</v>
      </c>
      <c r="B5" s="10">
        <f>=COUNTIF(开发进度表!D:D,A5)</f>
        <v>2</v>
      </c>
      <c r="C5" s="10" t="str">
        <f>=TEXT(COUNTIF(开发进度表!D:D,A5)/MAX(1,COUNTA(开发进度表!B:B)-1),"0.0%")</f>
        <v>3.7%</v>
      </c>
    </row>
    <row r="6" spans="1:3">
      <c r="A6" s="19" t="s">
        <v>95</v>
      </c>
      <c r="B6" s="10">
        <f>=COUNTIF(开发进度表!D:D,A6)</f>
        <v>12</v>
      </c>
      <c r="C6" s="10" t="str">
        <f>=TEXT(COUNTIF(开发进度表!D:D,A6)/MAX(1,COUNTA(开发进度表!B:B)-1),"0.0%")</f>
        <v>22.2%</v>
      </c>
    </row>
    <row r="7" spans="1:3">
      <c r="A7" s="20" t="s">
        <v>23</v>
      </c>
      <c r="B7" s="10">
        <f>=COUNTIF(开发进度表!D:D,A7)</f>
        <v>29</v>
      </c>
      <c r="C7" s="10" t="str">
        <f>=TEXT(COUNTIF(开发进度表!D:D,A7)/MAX(1,COUNTA(开发进度表!B:B)-1),"0.0%")</f>
        <v>53.7%</v>
      </c>
    </row>
    <row r="8" spans="1:3">
      <c r="A8" s="8" t="s">
        <v>115</v>
      </c>
      <c r="B8" s="8">
        <f>=SUM(B4:B7)</f>
        <v>54</v>
      </c>
      <c r="C8" s="8" t="str">
        <f>=TEXT(B8/MAX(1,COUNTA(开发进度表!B:B)-1),"0.0%")</f>
        <v>100.0%</v>
      </c>
    </row>
    <row r="10" spans="1:1">
      <c r="A10" s="16" t="s">
        <v>116</v>
      </c>
    </row>
    <row r="11" spans="1:8">
      <c r="A11" s="6" t="s">
        <v>15</v>
      </c>
      <c r="B11" s="6" t="s">
        <v>117</v>
      </c>
      <c r="C11" s="6" t="s">
        <v>118</v>
      </c>
      <c r="D11" s="6" t="s">
        <v>23</v>
      </c>
      <c r="E11" s="6" t="s">
        <v>95</v>
      </c>
      <c r="F11" s="6" t="s">
        <v>106</v>
      </c>
      <c r="G11" s="6" t="s">
        <v>99</v>
      </c>
      <c r="H11" s="6" t="s">
        <v>119</v>
      </c>
    </row>
    <row r="12" spans="1:8">
      <c r="A12" s="21" t="s">
        <v>20</v>
      </c>
      <c r="B12" s="10" t="s">
        <v>251</v>
      </c>
      <c r="C12" s="10">
        <f>=COUNTIF(开发进度表!A:A,A12)</f>
        <v>6</v>
      </c>
      <c r="D12" s="10">
        <f>=COUNTIFS(开发进度表!A:A,A12,开发进度表!D:D,"已测试")</f>
        <v>6</v>
      </c>
      <c r="E12" s="10">
        <f>=COUNTIFS(开发进度表!A:A,A12,开发进度表!D:D,"已开发")</f>
        <v>0</v>
      </c>
      <c r="F12" s="10">
        <f>=COUNTIFS(开发进度表!A:A,A12,开发进度表!D:D,"开发中")</f>
        <v>0</v>
      </c>
      <c r="G12" s="10">
        <f>=COUNTIFS(开发进度表!A:A,A12,开发进度表!D:D,"未开发")</f>
        <v>0</v>
      </c>
      <c r="H12" s="10" t="str">
        <f>=TEXT(D12/MAX(1,C12),"0.0%")</f>
        <v>100.0%</v>
      </c>
    </row>
    <row r="13" spans="1:8">
      <c r="A13" s="22" t="s">
        <v>37</v>
      </c>
      <c r="B13" s="10" t="s">
        <v>252</v>
      </c>
      <c r="C13" s="10">
        <f>=COUNTIF(开发进度表!A:A,A13)</f>
        <v>8</v>
      </c>
      <c r="D13" s="10">
        <f>=COUNTIFS(开发进度表!A:A,A13,开发进度表!D:D,"已测试")</f>
        <v>7</v>
      </c>
      <c r="E13" s="10">
        <f>=COUNTIFS(开发进度表!A:A,A13,开发进度表!D:D,"已开发")</f>
        <v>0</v>
      </c>
      <c r="F13" s="10">
        <f>=COUNTIFS(开发进度表!A:A,A13,开发进度表!D:D,"开发中")</f>
        <v>0</v>
      </c>
      <c r="G13" s="10">
        <f>=COUNTIFS(开发进度表!A:A,A13,开发进度表!D:D,"未开发")</f>
        <v>1</v>
      </c>
      <c r="H13" s="10" t="str">
        <f>=TEXT(D13/MAX(1,C13),"0.0%")</f>
        <v>87.5%</v>
      </c>
    </row>
    <row r="14" spans="1:8">
      <c r="A14" s="23" t="s">
        <v>53</v>
      </c>
      <c r="B14" s="10" t="s">
        <v>253</v>
      </c>
      <c r="C14" s="10">
        <f>=COUNTIF(开发进度表!A:A,A14)</f>
        <v>11</v>
      </c>
      <c r="D14" s="10">
        <f>=COUNTIFS(开发进度表!A:A,A14,开发进度表!D:D,"已测试")</f>
        <v>6</v>
      </c>
      <c r="E14" s="10">
        <f>=COUNTIFS(开发进度表!A:A,A14,开发进度表!D:D,"已开发")</f>
        <v>4</v>
      </c>
      <c r="F14" s="10">
        <f>=COUNTIFS(开发进度表!A:A,A14,开发进度表!D:D,"开发中")</f>
        <v>0</v>
      </c>
      <c r="G14" s="10">
        <f>=COUNTIFS(开发进度表!A:A,A14,开发进度表!D:D,"未开发")</f>
        <v>1</v>
      </c>
      <c r="H14" s="10" t="str">
        <f>=TEXT(D14/MAX(1,C14),"0.0%")</f>
        <v>54.5%</v>
      </c>
    </row>
    <row r="15" spans="1:8">
      <c r="A15" s="24" t="s">
        <v>66</v>
      </c>
      <c r="B15" s="10" t="s">
        <v>254</v>
      </c>
      <c r="C15" s="10">
        <f>=COUNTIF(开发进度表!A:A,A15)</f>
        <v>12</v>
      </c>
      <c r="D15" s="10">
        <f>=COUNTIFS(开发进度表!A:A,A15,开发进度表!D:D,"已测试")</f>
        <v>7</v>
      </c>
      <c r="E15" s="10">
        <f>=COUNTIFS(开发进度表!A:A,A15,开发进度表!D:D,"已开发")</f>
        <v>4</v>
      </c>
      <c r="F15" s="10">
        <f>=COUNTIFS(开发进度表!A:A,A15,开发进度表!D:D,"开发中")</f>
        <v>0</v>
      </c>
      <c r="G15" s="10">
        <f>=COUNTIFS(开发进度表!A:A,A15,开发进度表!D:D,"未开发")</f>
        <v>1</v>
      </c>
      <c r="H15" s="10" t="str">
        <f>=TEXT(D15/MAX(1,C15),"0.0%")</f>
        <v>58.3%</v>
      </c>
    </row>
    <row r="16" spans="1:8">
      <c r="A16" s="25" t="s">
        <v>82</v>
      </c>
      <c r="B16" s="10" t="s">
        <v>255</v>
      </c>
      <c r="C16" s="10">
        <f>=COUNTIF(开发进度表!A:A,A16)</f>
        <v>10</v>
      </c>
      <c r="D16" s="10">
        <f>=COUNTIFS(开发进度表!A:A,A16,开发进度表!D:D,"已测试")</f>
        <v>3</v>
      </c>
      <c r="E16" s="10">
        <f>=COUNTIFS(开发进度表!A:A,A16,开发进度表!D:D,"已开发")</f>
        <v>3</v>
      </c>
      <c r="F16" s="10">
        <f>=COUNTIFS(开发进度表!A:A,A16,开发进度表!D:D,"开发中")</f>
        <v>0</v>
      </c>
      <c r="G16" s="10">
        <f>=COUNTIFS(开发进度表!A:A,A16,开发进度表!D:D,"未开发")</f>
        <v>4</v>
      </c>
      <c r="H16" s="10" t="str">
        <f>=TEXT(D16/MAX(1,C16),"0.0%")</f>
        <v>30.0%</v>
      </c>
    </row>
    <row r="17" spans="1:8">
      <c r="A17" s="40" t="s">
        <v>92</v>
      </c>
      <c r="B17" s="10" t="s">
        <v>256</v>
      </c>
      <c r="C17" s="10">
        <f>=COUNTIF(开发进度表!A:A,A17)</f>
        <v>7</v>
      </c>
      <c r="D17" s="10">
        <f>=COUNTIFS(开发进度表!A:A,A17,开发进度表!D:D,"已测试")</f>
        <v>0</v>
      </c>
      <c r="E17" s="10">
        <f>=COUNTIFS(开发进度表!A:A,A17,开发进度表!D:D,"已开发")</f>
        <v>1</v>
      </c>
      <c r="F17" s="10">
        <f>=COUNTIFS(开发进度表!A:A,A17,开发进度表!D:D,"开发中")</f>
        <v>2</v>
      </c>
      <c r="G17" s="10">
        <f>=COUNTIFS(开发进度表!A:A,A17,开发进度表!D:D,"未开发")</f>
        <v>4</v>
      </c>
      <c r="H17" s="10" t="str">
        <f>=TEXT(D17/MAX(1,C17),"0.0%")</f>
        <v>0.0%</v>
      </c>
    </row>
  </sheetData>
  <pageMargins left="0.75" right="0.75" top="1" bottom="1" header="0.511811" footer="0.511811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>
  <sheetPr/>
  <dimension ref="C5"/>
  <sheetViews>
    <sheetView showGridLines="1" workbookViewId="0"/>
  </sheetViews>
  <sheetFormatPr defaultColWidth="7.69167" defaultRowHeight="18.5" outlineLevelRow="4" outlineLevelCol="2"/>
  <cols>
    <col min="1" max="1" width="9.1" customWidth="1"/>
    <col min="2" max="2" width="40.0333" customWidth="1"/>
    <col min="3" max="3" width="56.4083" customWidth="1"/>
  </cols>
  <sheetData>
    <row r="1" spans="1:3" ht="31.5" customHeight="1">
      <c r="A1" s="6" t="s">
        <v>109</v>
      </c>
      <c r="B1" s="27" t="s">
        <v>128</v>
      </c>
      <c r="C1" s="27" t="s">
        <v>129</v>
      </c>
    </row>
    <row r="2" spans="1:3" ht="31.5" customHeight="1">
      <c r="A2" s="17" t="s">
        <v>99</v>
      </c>
      <c r="B2" s="9" t="s">
        <v>130</v>
      </c>
      <c r="C2" s="9" t="s">
        <v>131</v>
      </c>
    </row>
    <row r="3" spans="1:3" ht="31.5" customHeight="1">
      <c r="A3" s="18" t="s">
        <v>106</v>
      </c>
      <c r="B3" s="9" t="s">
        <v>132</v>
      </c>
      <c r="C3" s="9" t="s">
        <v>133</v>
      </c>
    </row>
    <row r="4" spans="1:3" ht="31.5" customHeight="1">
      <c r="A4" s="19" t="s">
        <v>95</v>
      </c>
      <c r="B4" s="9" t="s">
        <v>134</v>
      </c>
      <c r="C4" s="9" t="s">
        <v>135</v>
      </c>
    </row>
    <row r="5" spans="1:3" ht="31.5" customHeight="1">
      <c r="A5" s="20" t="s">
        <v>23</v>
      </c>
      <c r="B5" s="9" t="s">
        <v>136</v>
      </c>
      <c r="C5" s="9" t="s">
        <v>137</v>
      </c>
    </row>
  </sheetData>
  <pageMargins left="0.75" right="0.75" top="1" bottom="1" header="0.511811" footer="0.511811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2026-09-25T01:24:12Z</dcterms:created>
  <dcterms:modified xsi:type="dcterms:W3CDTF">2026-09-25T01:24:12Z</dcterms:modified>
</cp:coreProperties>
</file>